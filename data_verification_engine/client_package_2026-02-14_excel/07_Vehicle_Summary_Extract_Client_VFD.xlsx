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edd\Downloads\"/>
    </mc:Choice>
  </mc:AlternateContent>
  <xr:revisionPtr revIDLastSave="0" documentId="13_ncr:1_{F0F29281-70EF-4A43-9224-91CB793AA6E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Read_Me_First" sheetId="1" r:id="rId1"/>
    <sheet name="Vehicle_Summary" sheetId="2" r:id="rId2"/>
    <sheet name="Fees_Commissions_By_Vehicle" sheetId="3" r:id="rId3"/>
    <sheet name="Scope_Totals" sheetId="4" r:id="rId4"/>
    <sheet name="Deltas_To_Review" sheetId="5" r:id="rId5"/>
  </sheets>
  <calcPr calcId="191029"/>
</workbook>
</file>

<file path=xl/calcChain.xml><?xml version="1.0" encoding="utf-8"?>
<calcChain xmlns="http://schemas.openxmlformats.org/spreadsheetml/2006/main">
  <c r="T25" i="2" l="1"/>
  <c r="N25" i="2"/>
  <c r="N7" i="2"/>
</calcChain>
</file>

<file path=xl/sharedStrings.xml><?xml version="1.0" encoding="utf-8"?>
<sst xmlns="http://schemas.openxmlformats.org/spreadsheetml/2006/main" count="521" uniqueCount="125">
  <si>
    <t>Topic</t>
  </si>
  <si>
    <t>Explanation</t>
  </si>
  <si>
    <t>Purpose</t>
  </si>
  <si>
    <t>Client extract summarizing checks by vehicle and by scope.</t>
  </si>
  <si>
    <t>What is included</t>
  </si>
  <si>
    <t>Subscriptions, positions, fee totals by type, and commission totals by type.</t>
  </si>
  <si>
    <t>Delta logic</t>
  </si>
  <si>
    <t>Delta = DB minus Dashboard.</t>
  </si>
  <si>
    <t>Status meaning</t>
  </si>
  <si>
    <t>OK = zero delta for that check. Review = non-zero delta (often expected when ruled by business decision).</t>
  </si>
  <si>
    <t>Source</t>
  </si>
  <si>
    <t>Generated from validated file: 06_Vehicle_Totals_Extract_Dashboard_vs_DB.xlsx</t>
  </si>
  <si>
    <t>Scope</t>
  </si>
  <si>
    <t>Vehicle</t>
  </si>
  <si>
    <t>VCL Flag</t>
  </si>
  <si>
    <t>Dashboard Subs</t>
  </si>
  <si>
    <t>DB Subs</t>
  </si>
  <si>
    <t>Delta Subs</t>
  </si>
  <si>
    <t>Subs Status</t>
  </si>
  <si>
    <t>Dashboard Positions</t>
  </si>
  <si>
    <t>DB Positions</t>
  </si>
  <si>
    <t>Delta Positions</t>
  </si>
  <si>
    <t>Positions Status</t>
  </si>
  <si>
    <t>Dashboard Commitment</t>
  </si>
  <si>
    <t>DB Commitment</t>
  </si>
  <si>
    <t>Delta Commitment</t>
  </si>
  <si>
    <t>Commitment Status</t>
  </si>
  <si>
    <t>Dashboard Ownership</t>
  </si>
  <si>
    <t>DB Ownership</t>
  </si>
  <si>
    <t>Delta Ownership</t>
  </si>
  <si>
    <t>Ownership Status</t>
  </si>
  <si>
    <t>Total Fee Delta (Abs)</t>
  </si>
  <si>
    <t>Total Commission Delta (Abs)</t>
  </si>
  <si>
    <t>Overall Status</t>
  </si>
  <si>
    <t>IN</t>
  </si>
  <si>
    <t>IN101</t>
  </si>
  <si>
    <t>No</t>
  </si>
  <si>
    <t>OK</t>
  </si>
  <si>
    <t>IN102</t>
  </si>
  <si>
    <t>Review</t>
  </si>
  <si>
    <t>IN103</t>
  </si>
  <si>
    <t>IN106</t>
  </si>
  <si>
    <t>IN109</t>
  </si>
  <si>
    <t>IN110</t>
  </si>
  <si>
    <t>IN111</t>
  </si>
  <si>
    <t>VC1</t>
  </si>
  <si>
    <t>VC102</t>
  </si>
  <si>
    <t>VC106</t>
  </si>
  <si>
    <t>VC111</t>
  </si>
  <si>
    <t>VC112</t>
  </si>
  <si>
    <t>VC113</t>
  </si>
  <si>
    <t>VC114</t>
  </si>
  <si>
    <t>VC118</t>
  </si>
  <si>
    <t>VC121</t>
  </si>
  <si>
    <t>VC122</t>
  </si>
  <si>
    <t>VC123</t>
  </si>
  <si>
    <t>VC124</t>
  </si>
  <si>
    <t>VC125</t>
  </si>
  <si>
    <t>VC126</t>
  </si>
  <si>
    <t>VC2</t>
  </si>
  <si>
    <t>VC201</t>
  </si>
  <si>
    <t>VC202</t>
  </si>
  <si>
    <t>VC203</t>
  </si>
  <si>
    <t>VC206</t>
  </si>
  <si>
    <t>VC207</t>
  </si>
  <si>
    <t>VC209</t>
  </si>
  <si>
    <t>VC210</t>
  </si>
  <si>
    <t>VC211</t>
  </si>
  <si>
    <t>VC215</t>
  </si>
  <si>
    <t>VCL001</t>
  </si>
  <si>
    <t>Yes</t>
  </si>
  <si>
    <t>VCL002</t>
  </si>
  <si>
    <t>Dash Spread Fee</t>
  </si>
  <si>
    <t>DB Spread Fee</t>
  </si>
  <si>
    <t>Delta Spread Fee</t>
  </si>
  <si>
    <t>Dash Subscription Fee</t>
  </si>
  <si>
    <t>DB Subscription Fee</t>
  </si>
  <si>
    <t>Delta Subscription Fee</t>
  </si>
  <si>
    <t>Dash BD Fee</t>
  </si>
  <si>
    <t>DB BD Fee</t>
  </si>
  <si>
    <t>Delta BD Fee</t>
  </si>
  <si>
    <t>Dash FINRA Fee</t>
  </si>
  <si>
    <t>DB FINRA Fee</t>
  </si>
  <si>
    <t>Delta FINRA Fee</t>
  </si>
  <si>
    <t>Dash Commission Invested</t>
  </si>
  <si>
    <t>DB Commission Invested</t>
  </si>
  <si>
    <t>Delta Commission Invested</t>
  </si>
  <si>
    <t>Dash Commission Spread</t>
  </si>
  <si>
    <t>DB Commission Spread</t>
  </si>
  <si>
    <t>Delta Commission Spread</t>
  </si>
  <si>
    <t>Dash Subs</t>
  </si>
  <si>
    <t>Dash Positions (count basis)</t>
  </si>
  <si>
    <t>Dash Commitment</t>
  </si>
  <si>
    <t>Dash Ownership</t>
  </si>
  <si>
    <t>Dash Total Fees</t>
  </si>
  <si>
    <t>DB Total Fees</t>
  </si>
  <si>
    <t>Delta Total Fees</t>
  </si>
  <si>
    <t>Dash Total Commissions</t>
  </si>
  <si>
    <t>DB Total Commissions</t>
  </si>
  <si>
    <t>Delta Total Commissions</t>
  </si>
  <si>
    <t>GRAND TOTAL</t>
  </si>
  <si>
    <t>Area</t>
  </si>
  <si>
    <t>Dashboard</t>
  </si>
  <si>
    <t>DB</t>
  </si>
  <si>
    <t>Delta (DB-Dashboard)</t>
  </si>
  <si>
    <t>Commission Invested</t>
  </si>
  <si>
    <t>Commission Spread</t>
  </si>
  <si>
    <t>Commitment</t>
  </si>
  <si>
    <t>Currency</t>
  </si>
  <si>
    <t>USD</t>
  </si>
  <si>
    <t>ETH</t>
  </si>
  <si>
    <t>multiple currencies - cannot be added</t>
  </si>
  <si>
    <t>CHF</t>
  </si>
  <si>
    <t>Dashboard Notes</t>
  </si>
  <si>
    <t>EUR</t>
  </si>
  <si>
    <t>VC128</t>
  </si>
  <si>
    <t>VC130</t>
  </si>
  <si>
    <t>VC131</t>
  </si>
  <si>
    <t>VC132</t>
  </si>
  <si>
    <t>VC133</t>
  </si>
  <si>
    <t>VC138</t>
  </si>
  <si>
    <t>VC140</t>
  </si>
  <si>
    <t>VC141</t>
  </si>
  <si>
    <t>VC143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</si>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</sst>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4" fontId="0" fillId="0" borderId="0" xfId="0" applyNumberFormat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4" fontId="0" fillId="3" borderId="0" xfId="0" applyNumberFormat="1" applyFill="1" applyAlignment="1">
      <alignment vertical="center"/>
    </xf>
    <xf numFmtId="4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4" fontId="0" fillId="0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50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3"/>
  <sheetViews>
    <sheetView tabSelected="1" zoomScale="70" zoomScaleNormal="70" workbookViewId="0">
      <pane ySplit="1" topLeftCell="A6" activePane="bottomLeft" state="frozen"/>
      <selection pane="bottomLeft" activeCell="O20" sqref="O20"/>
    </sheetView>
  </sheetViews>
  <sheetFormatPr defaultRowHeight="14.25" x14ac:dyDescent="0.45"/>
  <cols>
    <col min="1" max="3" width="10" style="3" customWidth="1"/>
    <col min="4" max="4" width="16" style="3" customWidth="1"/>
    <col min="5" max="5" width="10" style="3" customWidth="1"/>
    <col min="6" max="6" width="12" style="3" customWidth="1"/>
    <col min="7" max="7" width="13" style="3" customWidth="1"/>
    <col min="8" max="8" width="21" style="3" customWidth="1"/>
    <col min="9" max="9" width="14" style="3" customWidth="1"/>
    <col min="10" max="10" width="17" style="3" customWidth="1"/>
    <col min="11" max="11" width="18" style="3" customWidth="1"/>
    <col min="12" max="12" width="22" style="3" customWidth="1"/>
    <col min="13" max="13" width="19" style="3" customWidth="1"/>
    <col min="14" max="14" width="24" style="3" customWidth="1"/>
    <col min="15" max="15" width="19.6640625" style="9" customWidth="1"/>
    <col min="16" max="16" width="19" style="3" customWidth="1"/>
    <col min="17" max="17" width="21" style="3" customWidth="1"/>
    <col min="18" max="19" width="14" style="3" customWidth="1"/>
    <col min="20" max="20" width="17" style="3" customWidth="1"/>
    <col min="21" max="21" width="18" style="3" customWidth="1"/>
    <col min="22" max="22" width="23" style="3" customWidth="1"/>
    <col min="23" max="23" width="30" style="3" customWidth="1"/>
    <col min="24" max="24" width="16" style="3" customWidth="1"/>
    <col min="25" max="16384" width="9.06640625" style="3"/>
  </cols>
  <sheetData>
    <row r="1" spans="1:24" ht="28.5" x14ac:dyDescent="0.4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108</v>
      </c>
      <c r="P1" s="1" t="s">
        <v>26</v>
      </c>
      <c r="Q1" s="1" t="s">
        <v>27</v>
      </c>
      <c r="R1" s="1" t="s">
        <v>28</v>
      </c>
      <c r="S1" s="1" t="s">
        <v>113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</row>
    <row r="2" spans="1:24" x14ac:dyDescent="0.45">
      <c r="A2" s="3" t="s">
        <v>34</v>
      </c>
      <c r="B2" s="3" t="s">
        <v>35</v>
      </c>
      <c r="C2" s="3" t="s">
        <v>36</v>
      </c>
      <c r="D2" s="3">
        <v>1</v>
      </c>
      <c r="E2" s="3">
        <v>1</v>
      </c>
      <c r="F2" s="3">
        <v>0</v>
      </c>
      <c r="G2" s="3" t="s">
        <v>37</v>
      </c>
      <c r="H2" s="3">
        <v>1</v>
      </c>
      <c r="I2" s="3">
        <v>1</v>
      </c>
      <c r="J2" s="3">
        <v>0</v>
      </c>
      <c r="K2" s="3" t="s">
        <v>37</v>
      </c>
      <c r="L2" s="4">
        <v>914481.12</v>
      </c>
      <c r="M2" s="4">
        <v>914481.12</v>
      </c>
      <c r="N2" s="4">
        <v>0</v>
      </c>
      <c r="O2" s="5" t="s">
        <v>109</v>
      </c>
      <c r="P2" s="3" t="s">
        <v>37</v>
      </c>
      <c r="Q2" s="4">
        <v>38881</v>
      </c>
      <c r="R2" s="4">
        <v>38881</v>
      </c>
      <c r="S2" s="4"/>
      <c r="T2" s="4">
        <v>0</v>
      </c>
      <c r="U2" s="3" t="s">
        <v>37</v>
      </c>
      <c r="V2" s="4">
        <v>0</v>
      </c>
      <c r="W2" s="4">
        <v>0</v>
      </c>
      <c r="X2" s="3" t="s">
        <v>37</v>
      </c>
    </row>
    <row r="3" spans="1:24" x14ac:dyDescent="0.45">
      <c r="A3" s="3" t="s">
        <v>34</v>
      </c>
      <c r="B3" s="3" t="s">
        <v>38</v>
      </c>
      <c r="C3" s="3" t="s">
        <v>36</v>
      </c>
      <c r="D3" s="3">
        <v>8</v>
      </c>
      <c r="E3" s="3">
        <v>8</v>
      </c>
      <c r="F3" s="3">
        <v>0</v>
      </c>
      <c r="G3" s="3" t="s">
        <v>37</v>
      </c>
      <c r="H3" s="3">
        <v>8</v>
      </c>
      <c r="I3" s="3">
        <v>8</v>
      </c>
      <c r="J3" s="3">
        <v>0</v>
      </c>
      <c r="K3" s="3" t="s">
        <v>37</v>
      </c>
      <c r="L3" s="4">
        <v>2512609.2200000002</v>
      </c>
      <c r="M3" s="4">
        <v>2512609.2200000002</v>
      </c>
      <c r="N3" s="4">
        <v>0</v>
      </c>
      <c r="O3" s="5" t="s">
        <v>109</v>
      </c>
      <c r="P3" s="3" t="s">
        <v>37</v>
      </c>
      <c r="Q3" s="4">
        <v>603</v>
      </c>
      <c r="R3" s="4">
        <v>603</v>
      </c>
      <c r="S3" s="4"/>
      <c r="T3" s="4">
        <v>0</v>
      </c>
      <c r="U3" s="3" t="s">
        <v>37</v>
      </c>
      <c r="V3" s="4">
        <v>0</v>
      </c>
      <c r="W3" s="4">
        <v>74881.55</v>
      </c>
      <c r="X3" s="3" t="s">
        <v>39</v>
      </c>
    </row>
    <row r="4" spans="1:24" x14ac:dyDescent="0.45">
      <c r="A4" s="3" t="s">
        <v>34</v>
      </c>
      <c r="B4" s="3" t="s">
        <v>40</v>
      </c>
      <c r="C4" s="3" t="s">
        <v>36</v>
      </c>
      <c r="D4" s="3">
        <v>7</v>
      </c>
      <c r="E4" s="3">
        <v>7</v>
      </c>
      <c r="F4" s="3">
        <v>0</v>
      </c>
      <c r="G4" s="3" t="s">
        <v>37</v>
      </c>
      <c r="H4" s="3">
        <v>7</v>
      </c>
      <c r="I4" s="3">
        <v>6</v>
      </c>
      <c r="J4" s="3">
        <v>-1</v>
      </c>
      <c r="K4" s="3" t="s">
        <v>39</v>
      </c>
      <c r="L4" s="4">
        <v>1750000</v>
      </c>
      <c r="M4" s="4">
        <v>1750000</v>
      </c>
      <c r="N4" s="4">
        <v>0</v>
      </c>
      <c r="O4" s="5" t="s">
        <v>109</v>
      </c>
      <c r="P4" s="3" t="s">
        <v>37</v>
      </c>
      <c r="Q4" s="4">
        <v>302229</v>
      </c>
      <c r="R4" s="4">
        <v>302229</v>
      </c>
      <c r="S4" s="4"/>
      <c r="T4" s="4">
        <v>0</v>
      </c>
      <c r="U4" s="3" t="s">
        <v>37</v>
      </c>
      <c r="V4" s="4">
        <v>0</v>
      </c>
      <c r="W4" s="4">
        <v>269998.61</v>
      </c>
      <c r="X4" s="3" t="s">
        <v>39</v>
      </c>
    </row>
    <row r="5" spans="1:24" x14ac:dyDescent="0.45">
      <c r="A5" s="3" t="s">
        <v>34</v>
      </c>
      <c r="B5" s="3" t="s">
        <v>41</v>
      </c>
      <c r="C5" s="3" t="s">
        <v>36</v>
      </c>
      <c r="D5" s="3">
        <v>1</v>
      </c>
      <c r="E5" s="3">
        <v>1</v>
      </c>
      <c r="F5" s="3">
        <v>0</v>
      </c>
      <c r="G5" s="3" t="s">
        <v>37</v>
      </c>
      <c r="H5" s="3">
        <v>1</v>
      </c>
      <c r="I5" s="3">
        <v>1</v>
      </c>
      <c r="J5" s="3">
        <v>0</v>
      </c>
      <c r="K5" s="3" t="s">
        <v>37</v>
      </c>
      <c r="L5" s="4">
        <v>10000</v>
      </c>
      <c r="M5" s="4">
        <v>10000</v>
      </c>
      <c r="N5" s="4">
        <v>0</v>
      </c>
      <c r="O5" s="6" t="s">
        <v>109</v>
      </c>
      <c r="P5" s="3" t="s">
        <v>37</v>
      </c>
      <c r="Q5" s="4">
        <v>2004</v>
      </c>
      <c r="R5" s="4">
        <v>2004</v>
      </c>
      <c r="S5" s="4"/>
      <c r="T5" s="4">
        <v>0</v>
      </c>
      <c r="U5" s="3" t="s">
        <v>37</v>
      </c>
      <c r="V5" s="4">
        <v>0</v>
      </c>
      <c r="W5" s="4">
        <v>0</v>
      </c>
      <c r="X5" s="3" t="s">
        <v>37</v>
      </c>
    </row>
    <row r="6" spans="1:24" x14ac:dyDescent="0.45">
      <c r="A6" s="3" t="s">
        <v>34</v>
      </c>
      <c r="B6" s="3" t="s">
        <v>42</v>
      </c>
      <c r="C6" s="3" t="s">
        <v>36</v>
      </c>
      <c r="D6" s="3">
        <v>1</v>
      </c>
      <c r="E6" s="3">
        <v>1</v>
      </c>
      <c r="F6" s="3">
        <v>0</v>
      </c>
      <c r="G6" s="3" t="s">
        <v>37</v>
      </c>
      <c r="H6" s="3">
        <v>1</v>
      </c>
      <c r="I6" s="3">
        <v>1</v>
      </c>
      <c r="J6" s="3">
        <v>0</v>
      </c>
      <c r="K6" s="3" t="s">
        <v>37</v>
      </c>
      <c r="L6" s="4">
        <v>595000</v>
      </c>
      <c r="M6" s="4">
        <v>595000</v>
      </c>
      <c r="N6" s="4">
        <v>0</v>
      </c>
      <c r="O6" s="6" t="s">
        <v>109</v>
      </c>
      <c r="P6" s="3" t="s">
        <v>37</v>
      </c>
      <c r="Q6" s="4">
        <v>6071</v>
      </c>
      <c r="R6" s="4">
        <v>6071</v>
      </c>
      <c r="S6" s="4"/>
      <c r="T6" s="4">
        <v>0</v>
      </c>
      <c r="U6" s="3" t="s">
        <v>37</v>
      </c>
      <c r="V6" s="4">
        <v>0</v>
      </c>
      <c r="W6" s="4">
        <v>0</v>
      </c>
      <c r="X6" s="3" t="s">
        <v>37</v>
      </c>
    </row>
    <row r="7" spans="1:24" x14ac:dyDescent="0.45">
      <c r="A7" s="3" t="s">
        <v>34</v>
      </c>
      <c r="B7" s="3" t="s">
        <v>43</v>
      </c>
      <c r="C7" s="3" t="s">
        <v>36</v>
      </c>
      <c r="D7" s="3">
        <v>5</v>
      </c>
      <c r="E7" s="3">
        <v>5</v>
      </c>
      <c r="F7" s="3">
        <v>0</v>
      </c>
      <c r="G7" s="3" t="s">
        <v>37</v>
      </c>
      <c r="H7" s="3">
        <v>5</v>
      </c>
      <c r="I7" s="3">
        <v>5</v>
      </c>
      <c r="J7" s="3">
        <v>0</v>
      </c>
      <c r="K7" s="3" t="s">
        <v>37</v>
      </c>
      <c r="L7" s="7">
        <v>63.75</v>
      </c>
      <c r="M7" s="7">
        <v>75</v>
      </c>
      <c r="N7" s="7">
        <f>M7-L7</f>
        <v>11.25</v>
      </c>
      <c r="O7" s="6" t="s">
        <v>110</v>
      </c>
      <c r="P7" s="3" t="s">
        <v>37</v>
      </c>
      <c r="Q7" s="4">
        <v>255000</v>
      </c>
      <c r="R7" s="4">
        <v>255000</v>
      </c>
      <c r="S7" s="4"/>
      <c r="T7" s="4">
        <v>0</v>
      </c>
      <c r="U7" s="3" t="s">
        <v>37</v>
      </c>
      <c r="V7" s="4">
        <v>0</v>
      </c>
      <c r="W7" s="4">
        <v>0</v>
      </c>
      <c r="X7" s="3" t="s">
        <v>37</v>
      </c>
    </row>
    <row r="8" spans="1:24" ht="28.5" x14ac:dyDescent="0.45">
      <c r="A8" s="3" t="s">
        <v>34</v>
      </c>
      <c r="B8" s="3" t="s">
        <v>44</v>
      </c>
      <c r="C8" s="3" t="s">
        <v>36</v>
      </c>
      <c r="D8" s="3">
        <v>3</v>
      </c>
      <c r="E8" s="3">
        <v>3</v>
      </c>
      <c r="F8" s="3">
        <v>0</v>
      </c>
      <c r="G8" s="3" t="s">
        <v>37</v>
      </c>
      <c r="H8" s="3">
        <v>3</v>
      </c>
      <c r="I8" s="3">
        <v>1</v>
      </c>
      <c r="J8" s="3">
        <v>-2</v>
      </c>
      <c r="K8" s="3" t="s">
        <v>39</v>
      </c>
      <c r="L8" s="7">
        <v>107263.44</v>
      </c>
      <c r="M8" s="7">
        <v>107263.44</v>
      </c>
      <c r="N8" s="4">
        <v>0</v>
      </c>
      <c r="O8" s="8" t="s">
        <v>111</v>
      </c>
      <c r="P8" s="3" t="s">
        <v>37</v>
      </c>
      <c r="Q8" s="4">
        <v>77447</v>
      </c>
      <c r="R8" s="4">
        <v>77447</v>
      </c>
      <c r="S8" s="4"/>
      <c r="T8" s="4">
        <v>0</v>
      </c>
      <c r="U8" s="3" t="s">
        <v>37</v>
      </c>
      <c r="V8" s="4">
        <v>0</v>
      </c>
      <c r="W8" s="4">
        <v>0</v>
      </c>
      <c r="X8" s="3" t="s">
        <v>39</v>
      </c>
    </row>
    <row r="9" spans="1:24" x14ac:dyDescent="0.45">
      <c r="A9" s="3" t="s">
        <v>45</v>
      </c>
      <c r="B9" s="3" t="s">
        <v>46</v>
      </c>
      <c r="C9" s="3" t="s">
        <v>36</v>
      </c>
      <c r="D9" s="3">
        <v>7</v>
      </c>
      <c r="E9" s="3">
        <v>7</v>
      </c>
      <c r="F9" s="3">
        <v>0</v>
      </c>
      <c r="G9" s="3" t="s">
        <v>37</v>
      </c>
      <c r="H9" s="3">
        <v>7</v>
      </c>
      <c r="I9" s="3">
        <v>4</v>
      </c>
      <c r="J9" s="3">
        <v>-3</v>
      </c>
      <c r="K9" s="3" t="s">
        <v>39</v>
      </c>
      <c r="L9" s="4">
        <v>575003</v>
      </c>
      <c r="M9" s="4">
        <v>575003</v>
      </c>
      <c r="N9" s="4">
        <v>0</v>
      </c>
      <c r="O9" s="6" t="s">
        <v>109</v>
      </c>
      <c r="P9" s="3" t="s">
        <v>37</v>
      </c>
      <c r="Q9" s="4">
        <v>154000</v>
      </c>
      <c r="R9" s="4">
        <v>154000</v>
      </c>
      <c r="S9" s="4"/>
      <c r="T9" s="4">
        <v>0</v>
      </c>
      <c r="U9" s="3" t="s">
        <v>37</v>
      </c>
      <c r="V9" s="4">
        <v>0</v>
      </c>
      <c r="W9" s="4">
        <v>0</v>
      </c>
      <c r="X9" s="3" t="s">
        <v>39</v>
      </c>
    </row>
    <row r="10" spans="1:24" x14ac:dyDescent="0.45">
      <c r="A10" s="3" t="s">
        <v>45</v>
      </c>
      <c r="B10" s="3" t="s">
        <v>47</v>
      </c>
      <c r="C10" s="3" t="s">
        <v>36</v>
      </c>
      <c r="D10" s="3">
        <v>196</v>
      </c>
      <c r="E10" s="3">
        <v>196</v>
      </c>
      <c r="F10" s="3">
        <v>0</v>
      </c>
      <c r="G10" s="3" t="s">
        <v>37</v>
      </c>
      <c r="H10" s="3">
        <v>196</v>
      </c>
      <c r="I10" s="3">
        <v>177</v>
      </c>
      <c r="J10" s="3">
        <v>-19</v>
      </c>
      <c r="K10" s="3" t="s">
        <v>39</v>
      </c>
      <c r="L10" s="4">
        <v>45273028.32</v>
      </c>
      <c r="M10" s="4">
        <v>45273028.320000008</v>
      </c>
      <c r="N10" s="4">
        <v>7.4505805969238281E-9</v>
      </c>
      <c r="O10" s="6" t="s">
        <v>109</v>
      </c>
      <c r="P10" s="3" t="s">
        <v>37</v>
      </c>
      <c r="Q10" s="4">
        <v>1969517</v>
      </c>
      <c r="R10" s="4">
        <v>1969517</v>
      </c>
      <c r="S10" s="4"/>
      <c r="T10" s="4">
        <v>0</v>
      </c>
      <c r="U10" s="3" t="s">
        <v>37</v>
      </c>
      <c r="V10" s="4">
        <v>0</v>
      </c>
      <c r="W10" s="4">
        <v>7.0000000000000007E-2</v>
      </c>
      <c r="X10" s="3" t="s">
        <v>39</v>
      </c>
    </row>
    <row r="11" spans="1:24" x14ac:dyDescent="0.45">
      <c r="A11" s="3" t="s">
        <v>45</v>
      </c>
      <c r="B11" s="3" t="s">
        <v>48</v>
      </c>
      <c r="C11" s="3" t="s">
        <v>36</v>
      </c>
      <c r="D11" s="3">
        <v>37</v>
      </c>
      <c r="E11" s="3">
        <v>37</v>
      </c>
      <c r="F11" s="3">
        <v>0</v>
      </c>
      <c r="G11" s="3" t="s">
        <v>37</v>
      </c>
      <c r="H11" s="3">
        <v>37</v>
      </c>
      <c r="I11" s="3">
        <v>33</v>
      </c>
      <c r="J11" s="3">
        <v>-4</v>
      </c>
      <c r="K11" s="3" t="s">
        <v>39</v>
      </c>
      <c r="L11" s="4">
        <v>8221428.5700000003</v>
      </c>
      <c r="M11" s="4">
        <v>8221428.5700000003</v>
      </c>
      <c r="N11" s="4">
        <v>0</v>
      </c>
      <c r="O11" s="6" t="s">
        <v>109</v>
      </c>
      <c r="P11" s="3" t="s">
        <v>37</v>
      </c>
      <c r="Q11" s="4">
        <v>6750000</v>
      </c>
      <c r="R11" s="4">
        <v>6750000</v>
      </c>
      <c r="S11" s="4"/>
      <c r="T11" s="4">
        <v>0</v>
      </c>
      <c r="U11" s="3" t="s">
        <v>37</v>
      </c>
      <c r="V11" s="4">
        <v>0</v>
      </c>
      <c r="W11" s="4">
        <v>0</v>
      </c>
      <c r="X11" s="3" t="s">
        <v>39</v>
      </c>
    </row>
    <row r="12" spans="1:24" x14ac:dyDescent="0.45">
      <c r="A12" s="3" t="s">
        <v>45</v>
      </c>
      <c r="B12" s="3" t="s">
        <v>49</v>
      </c>
      <c r="C12" s="3" t="s">
        <v>36</v>
      </c>
      <c r="D12" s="3">
        <v>25</v>
      </c>
      <c r="E12" s="3">
        <v>25</v>
      </c>
      <c r="F12" s="3">
        <v>0</v>
      </c>
      <c r="G12" s="3" t="s">
        <v>37</v>
      </c>
      <c r="H12" s="3">
        <v>25</v>
      </c>
      <c r="I12" s="3">
        <v>12</v>
      </c>
      <c r="J12" s="3">
        <v>-13</v>
      </c>
      <c r="K12" s="3" t="s">
        <v>39</v>
      </c>
      <c r="L12" s="4">
        <v>2796196.15</v>
      </c>
      <c r="M12" s="4">
        <v>2796196.15</v>
      </c>
      <c r="N12" s="4">
        <v>0</v>
      </c>
      <c r="O12" s="6" t="s">
        <v>109</v>
      </c>
      <c r="P12" s="3" t="s">
        <v>37</v>
      </c>
      <c r="Q12" s="4">
        <v>1959129</v>
      </c>
      <c r="R12" s="4">
        <v>1959129</v>
      </c>
      <c r="S12" s="4"/>
      <c r="T12" s="4">
        <v>0</v>
      </c>
      <c r="U12" s="3" t="s">
        <v>37</v>
      </c>
      <c r="V12" s="4">
        <v>0</v>
      </c>
      <c r="W12" s="4">
        <v>0</v>
      </c>
      <c r="X12" s="3" t="s">
        <v>39</v>
      </c>
    </row>
    <row r="13" spans="1:24" x14ac:dyDescent="0.45">
      <c r="A13" s="3" t="s">
        <v>45</v>
      </c>
      <c r="B13" s="3" t="s">
        <v>50</v>
      </c>
      <c r="C13" s="3" t="s">
        <v>36</v>
      </c>
      <c r="D13" s="3">
        <v>73</v>
      </c>
      <c r="E13" s="3">
        <v>73</v>
      </c>
      <c r="F13" s="3">
        <v>0</v>
      </c>
      <c r="G13" s="3" t="s">
        <v>37</v>
      </c>
      <c r="H13" s="3">
        <v>73</v>
      </c>
      <c r="I13" s="3">
        <v>59</v>
      </c>
      <c r="J13" s="3">
        <v>-14</v>
      </c>
      <c r="K13" s="3" t="s">
        <v>39</v>
      </c>
      <c r="L13" s="4">
        <v>29684740.510000002</v>
      </c>
      <c r="M13" s="4">
        <v>29684740.510000002</v>
      </c>
      <c r="N13" s="4">
        <v>-3.7252902984619141E-9</v>
      </c>
      <c r="O13" s="6" t="s">
        <v>109</v>
      </c>
      <c r="P13" s="3" t="s">
        <v>37</v>
      </c>
      <c r="Q13" s="4">
        <v>879091</v>
      </c>
      <c r="R13" s="4">
        <v>879091</v>
      </c>
      <c r="S13" s="4"/>
      <c r="T13" s="4">
        <v>0</v>
      </c>
      <c r="U13" s="3" t="s">
        <v>37</v>
      </c>
      <c r="V13" s="4">
        <v>0</v>
      </c>
      <c r="W13" s="4">
        <v>0.01</v>
      </c>
      <c r="X13" s="3" t="s">
        <v>39</v>
      </c>
    </row>
    <row r="14" spans="1:24" x14ac:dyDescent="0.45">
      <c r="A14" s="3" t="s">
        <v>45</v>
      </c>
      <c r="B14" s="3" t="s">
        <v>51</v>
      </c>
      <c r="C14" s="3" t="s">
        <v>36</v>
      </c>
      <c r="D14" s="3">
        <v>4</v>
      </c>
      <c r="E14" s="3">
        <v>4</v>
      </c>
      <c r="F14" s="3">
        <v>0</v>
      </c>
      <c r="G14" s="3" t="s">
        <v>37</v>
      </c>
      <c r="H14" s="3">
        <v>4</v>
      </c>
      <c r="I14" s="3">
        <v>4</v>
      </c>
      <c r="J14" s="3">
        <v>0</v>
      </c>
      <c r="K14" s="3" t="s">
        <v>37</v>
      </c>
      <c r="L14" s="4">
        <v>860000</v>
      </c>
      <c r="M14" s="4">
        <v>860000</v>
      </c>
      <c r="N14" s="4">
        <v>0</v>
      </c>
      <c r="O14" s="6" t="s">
        <v>109</v>
      </c>
      <c r="P14" s="3" t="s">
        <v>37</v>
      </c>
      <c r="Q14" s="7">
        <v>530000</v>
      </c>
      <c r="R14" s="4">
        <v>860000</v>
      </c>
      <c r="S14" s="4"/>
      <c r="T14" s="4">
        <v>0</v>
      </c>
      <c r="U14" s="3" t="s">
        <v>37</v>
      </c>
      <c r="V14" s="4">
        <v>0</v>
      </c>
      <c r="W14" s="4">
        <v>0.4</v>
      </c>
      <c r="X14" s="3" t="s">
        <v>39</v>
      </c>
    </row>
    <row r="15" spans="1:24" x14ac:dyDescent="0.45">
      <c r="A15" s="3" t="s">
        <v>45</v>
      </c>
      <c r="B15" s="3" t="s">
        <v>52</v>
      </c>
      <c r="C15" s="3" t="s">
        <v>36</v>
      </c>
      <c r="D15" s="3">
        <v>7</v>
      </c>
      <c r="E15" s="3">
        <v>7</v>
      </c>
      <c r="F15" s="3">
        <v>0</v>
      </c>
      <c r="G15" s="3" t="s">
        <v>37</v>
      </c>
      <c r="H15" s="3">
        <v>7</v>
      </c>
      <c r="I15" s="3">
        <v>6</v>
      </c>
      <c r="J15" s="3">
        <v>-1</v>
      </c>
      <c r="K15" s="3" t="s">
        <v>39</v>
      </c>
      <c r="L15" s="4">
        <v>2192270.0099999998</v>
      </c>
      <c r="M15" s="4">
        <v>2192270.0099999998</v>
      </c>
      <c r="N15" s="4">
        <v>0</v>
      </c>
      <c r="O15" s="6" t="s">
        <v>109</v>
      </c>
      <c r="P15" s="3" t="s">
        <v>37</v>
      </c>
      <c r="Q15" s="4">
        <v>150000</v>
      </c>
      <c r="R15" s="4">
        <v>150000</v>
      </c>
      <c r="S15" s="4"/>
      <c r="T15" s="4">
        <v>0</v>
      </c>
      <c r="U15" s="3" t="s">
        <v>37</v>
      </c>
      <c r="V15" s="4">
        <v>0</v>
      </c>
      <c r="W15" s="4">
        <v>0</v>
      </c>
      <c r="X15" s="3" t="s">
        <v>39</v>
      </c>
    </row>
    <row r="16" spans="1:24" x14ac:dyDescent="0.45">
      <c r="A16" s="3" t="s">
        <v>45</v>
      </c>
      <c r="B16" s="3" t="s">
        <v>53</v>
      </c>
      <c r="C16" s="3" t="s">
        <v>36</v>
      </c>
      <c r="D16" s="3">
        <v>2</v>
      </c>
      <c r="E16" s="3">
        <v>2</v>
      </c>
      <c r="F16" s="3">
        <v>0</v>
      </c>
      <c r="G16" s="3" t="s">
        <v>37</v>
      </c>
      <c r="H16" s="3">
        <v>2</v>
      </c>
      <c r="I16" s="3">
        <v>1</v>
      </c>
      <c r="J16" s="3">
        <v>-1</v>
      </c>
      <c r="K16" s="3" t="s">
        <v>39</v>
      </c>
      <c r="L16" s="4">
        <v>100000</v>
      </c>
      <c r="M16" s="4">
        <v>100000</v>
      </c>
      <c r="N16" s="4">
        <v>0</v>
      </c>
      <c r="O16" s="6" t="s">
        <v>112</v>
      </c>
      <c r="P16" s="3" t="s">
        <v>37</v>
      </c>
      <c r="Q16" s="4">
        <v>172413</v>
      </c>
      <c r="R16" s="4">
        <v>172413</v>
      </c>
      <c r="S16" s="4"/>
      <c r="T16" s="4">
        <v>0</v>
      </c>
      <c r="U16" s="3" t="s">
        <v>37</v>
      </c>
      <c r="V16" s="4">
        <v>0</v>
      </c>
      <c r="W16" s="4">
        <v>0</v>
      </c>
      <c r="X16" s="3" t="s">
        <v>39</v>
      </c>
    </row>
    <row r="17" spans="1:24" x14ac:dyDescent="0.45">
      <c r="A17" s="3" t="s">
        <v>45</v>
      </c>
      <c r="B17" s="3" t="s">
        <v>54</v>
      </c>
      <c r="C17" s="3" t="s">
        <v>36</v>
      </c>
      <c r="D17" s="3">
        <v>9</v>
      </c>
      <c r="E17" s="3">
        <v>9</v>
      </c>
      <c r="F17" s="3">
        <v>0</v>
      </c>
      <c r="G17" s="3" t="s">
        <v>37</v>
      </c>
      <c r="H17" s="3">
        <v>9</v>
      </c>
      <c r="I17" s="3">
        <v>4</v>
      </c>
      <c r="J17" s="3">
        <v>-5</v>
      </c>
      <c r="K17" s="3" t="s">
        <v>39</v>
      </c>
      <c r="L17" s="4">
        <v>609999.65</v>
      </c>
      <c r="M17" s="4">
        <v>609999.65</v>
      </c>
      <c r="N17" s="4">
        <v>0</v>
      </c>
      <c r="O17" s="6" t="s">
        <v>109</v>
      </c>
      <c r="P17" s="3" t="s">
        <v>37</v>
      </c>
      <c r="Q17" s="4">
        <v>409440</v>
      </c>
      <c r="R17" s="4">
        <v>409440</v>
      </c>
      <c r="S17" s="7">
        <v>325000</v>
      </c>
      <c r="T17" s="4">
        <v>0</v>
      </c>
      <c r="U17" s="3" t="s">
        <v>37</v>
      </c>
      <c r="V17" s="4">
        <v>0</v>
      </c>
      <c r="W17" s="4">
        <v>0</v>
      </c>
      <c r="X17" s="3" t="s">
        <v>39</v>
      </c>
    </row>
    <row r="18" spans="1:24" x14ac:dyDescent="0.45">
      <c r="A18" s="3" t="s">
        <v>45</v>
      </c>
      <c r="B18" s="3" t="s">
        <v>55</v>
      </c>
      <c r="C18" s="3" t="s">
        <v>36</v>
      </c>
      <c r="D18" s="3">
        <v>1</v>
      </c>
      <c r="E18" s="3">
        <v>1</v>
      </c>
      <c r="F18" s="3">
        <v>0</v>
      </c>
      <c r="G18" s="3" t="s">
        <v>37</v>
      </c>
      <c r="H18" s="3">
        <v>1</v>
      </c>
      <c r="I18" s="3">
        <v>1</v>
      </c>
      <c r="J18" s="3">
        <v>0</v>
      </c>
      <c r="K18" s="3" t="s">
        <v>37</v>
      </c>
      <c r="L18" s="4">
        <v>100000</v>
      </c>
      <c r="M18" s="4">
        <v>100000</v>
      </c>
      <c r="N18" s="4">
        <v>0</v>
      </c>
      <c r="O18" s="6" t="s">
        <v>109</v>
      </c>
      <c r="P18" s="3" t="s">
        <v>37</v>
      </c>
      <c r="Q18" s="4">
        <v>100000</v>
      </c>
      <c r="R18" s="4">
        <v>100000</v>
      </c>
      <c r="S18" s="4"/>
      <c r="T18" s="4">
        <v>0</v>
      </c>
      <c r="U18" s="3" t="s">
        <v>37</v>
      </c>
      <c r="V18" s="4">
        <v>0</v>
      </c>
      <c r="W18" s="4">
        <v>0</v>
      </c>
      <c r="X18" s="3" t="s">
        <v>37</v>
      </c>
    </row>
    <row r="19" spans="1:24" x14ac:dyDescent="0.45">
      <c r="A19" s="3" t="s">
        <v>45</v>
      </c>
      <c r="B19" s="3" t="s">
        <v>56</v>
      </c>
      <c r="C19" s="3" t="s">
        <v>36</v>
      </c>
      <c r="D19" s="3">
        <v>11</v>
      </c>
      <c r="E19" s="3">
        <v>11</v>
      </c>
      <c r="F19" s="3">
        <v>0</v>
      </c>
      <c r="G19" s="3" t="s">
        <v>37</v>
      </c>
      <c r="H19" s="3">
        <v>11</v>
      </c>
      <c r="I19" s="3">
        <v>6</v>
      </c>
      <c r="J19" s="3">
        <v>-5</v>
      </c>
      <c r="K19" s="3" t="s">
        <v>39</v>
      </c>
      <c r="L19" s="4">
        <v>611772.19999999995</v>
      </c>
      <c r="M19" s="4">
        <v>611772.69999999995</v>
      </c>
      <c r="N19" s="4">
        <v>0.5</v>
      </c>
      <c r="O19" s="6" t="s">
        <v>124</v>
      </c>
      <c r="P19" s="3" t="s">
        <v>39</v>
      </c>
      <c r="Q19" s="4">
        <v>2809648</v>
      </c>
      <c r="R19" s="4">
        <v>2809648</v>
      </c>
      <c r="S19" s="4"/>
      <c r="T19" s="4">
        <v>0</v>
      </c>
      <c r="U19" s="3" t="s">
        <v>37</v>
      </c>
      <c r="V19" s="4">
        <v>0</v>
      </c>
      <c r="W19" s="4">
        <v>0</v>
      </c>
      <c r="X19" s="3" t="s">
        <v>39</v>
      </c>
    </row>
    <row r="20" spans="1:24" x14ac:dyDescent="0.45">
      <c r="A20" s="3" t="s">
        <v>45</v>
      </c>
      <c r="B20" s="3" t="s">
        <v>57</v>
      </c>
      <c r="C20" s="3" t="s">
        <v>36</v>
      </c>
      <c r="D20" s="3">
        <v>34</v>
      </c>
      <c r="E20" s="3">
        <v>34</v>
      </c>
      <c r="F20" s="3">
        <v>0</v>
      </c>
      <c r="G20" s="3" t="s">
        <v>37</v>
      </c>
      <c r="H20" s="3">
        <v>34</v>
      </c>
      <c r="I20" s="3">
        <v>26</v>
      </c>
      <c r="J20" s="3">
        <v>-8</v>
      </c>
      <c r="K20" s="3" t="s">
        <v>39</v>
      </c>
      <c r="L20" s="4">
        <v>2792111.35</v>
      </c>
      <c r="M20" s="4">
        <v>2792111.35</v>
      </c>
      <c r="N20" s="4">
        <v>0</v>
      </c>
      <c r="O20" s="6" t="s">
        <v>114</v>
      </c>
      <c r="P20" s="3" t="s">
        <v>37</v>
      </c>
      <c r="Q20" s="4">
        <v>16088</v>
      </c>
      <c r="R20" s="4">
        <v>16088</v>
      </c>
      <c r="S20" s="4"/>
      <c r="T20" s="4">
        <v>0</v>
      </c>
      <c r="U20" s="3" t="s">
        <v>37</v>
      </c>
      <c r="V20" s="4">
        <v>0</v>
      </c>
      <c r="W20" s="4">
        <v>0</v>
      </c>
      <c r="X20" s="3" t="s">
        <v>39</v>
      </c>
    </row>
    <row r="21" spans="1:24" x14ac:dyDescent="0.45">
      <c r="A21" s="11" t="s">
        <v>45</v>
      </c>
      <c r="B21" s="11" t="s">
        <v>58</v>
      </c>
      <c r="C21" s="11" t="s">
        <v>36</v>
      </c>
      <c r="D21" s="11">
        <v>20</v>
      </c>
      <c r="E21" s="11">
        <v>20</v>
      </c>
      <c r="F21" s="11">
        <v>0</v>
      </c>
      <c r="G21" s="11" t="s">
        <v>37</v>
      </c>
      <c r="H21" s="11">
        <v>20</v>
      </c>
      <c r="I21" s="11">
        <v>19</v>
      </c>
      <c r="J21" s="11">
        <v>-1</v>
      </c>
      <c r="K21" s="11" t="s">
        <v>39</v>
      </c>
      <c r="L21" s="12">
        <v>5008900</v>
      </c>
      <c r="M21" s="12">
        <v>5008900</v>
      </c>
      <c r="N21" s="12">
        <v>0</v>
      </c>
      <c r="O21" s="6" t="s">
        <v>109</v>
      </c>
      <c r="P21" s="3" t="s">
        <v>37</v>
      </c>
      <c r="Q21" s="4">
        <v>66254</v>
      </c>
      <c r="R21" s="4">
        <v>66254</v>
      </c>
      <c r="S21" s="4"/>
      <c r="T21" s="4">
        <v>0</v>
      </c>
      <c r="U21" s="3" t="s">
        <v>37</v>
      </c>
      <c r="V21" s="4">
        <v>0</v>
      </c>
      <c r="W21" s="4">
        <v>0</v>
      </c>
      <c r="X21" s="3" t="s">
        <v>39</v>
      </c>
    </row>
    <row r="22" spans="1:24" x14ac:dyDescent="0.45">
      <c r="A22" s="3" t="s">
        <v>59</v>
      </c>
      <c r="B22" s="3" t="s">
        <v>60</v>
      </c>
      <c r="C22" s="3" t="s">
        <v>36</v>
      </c>
      <c r="D22" s="3">
        <v>1</v>
      </c>
      <c r="E22" s="3">
        <v>1</v>
      </c>
      <c r="F22" s="3">
        <v>0</v>
      </c>
      <c r="G22" s="3" t="s">
        <v>37</v>
      </c>
      <c r="H22" s="3">
        <v>1</v>
      </c>
      <c r="I22" s="3">
        <v>1</v>
      </c>
      <c r="J22" s="3">
        <v>0</v>
      </c>
      <c r="K22" s="3" t="s">
        <v>37</v>
      </c>
      <c r="L22" s="4">
        <v>372237.5</v>
      </c>
      <c r="M22" s="4">
        <v>372237.5</v>
      </c>
      <c r="N22" s="4">
        <v>0</v>
      </c>
      <c r="O22" s="6" t="s">
        <v>109</v>
      </c>
      <c r="P22" s="3" t="s">
        <v>37</v>
      </c>
      <c r="Q22" s="4">
        <v>12408</v>
      </c>
      <c r="R22" s="4">
        <v>12408</v>
      </c>
      <c r="S22" s="4"/>
      <c r="T22" s="4">
        <v>0</v>
      </c>
      <c r="U22" s="3" t="s">
        <v>37</v>
      </c>
      <c r="V22" s="4">
        <v>0</v>
      </c>
      <c r="W22" s="4">
        <v>0</v>
      </c>
      <c r="X22" s="3" t="s">
        <v>37</v>
      </c>
    </row>
    <row r="23" spans="1:24" x14ac:dyDescent="0.45">
      <c r="A23" s="3" t="s">
        <v>59</v>
      </c>
      <c r="B23" s="3" t="s">
        <v>61</v>
      </c>
      <c r="C23" s="3" t="s">
        <v>36</v>
      </c>
      <c r="D23" s="3">
        <v>2</v>
      </c>
      <c r="E23" s="3">
        <v>2</v>
      </c>
      <c r="F23" s="3">
        <v>0</v>
      </c>
      <c r="G23" s="3" t="s">
        <v>37</v>
      </c>
      <c r="H23" s="3">
        <v>2</v>
      </c>
      <c r="I23" s="3">
        <v>2</v>
      </c>
      <c r="J23" s="3">
        <v>0</v>
      </c>
      <c r="K23" s="3" t="s">
        <v>37</v>
      </c>
      <c r="L23" s="4">
        <v>14999751.16</v>
      </c>
      <c r="M23" s="4">
        <v>14999751.16</v>
      </c>
      <c r="N23" s="4">
        <v>0</v>
      </c>
      <c r="O23" s="6" t="s">
        <v>109</v>
      </c>
      <c r="P23" s="3" t="s">
        <v>37</v>
      </c>
      <c r="Q23" s="4">
        <v>12874</v>
      </c>
      <c r="R23" s="4">
        <v>12874</v>
      </c>
      <c r="S23" s="4"/>
      <c r="T23" s="4">
        <v>0</v>
      </c>
      <c r="U23" s="3" t="s">
        <v>37</v>
      </c>
      <c r="V23" s="4">
        <v>0</v>
      </c>
      <c r="W23" s="4">
        <v>0</v>
      </c>
      <c r="X23" s="3" t="s">
        <v>37</v>
      </c>
    </row>
    <row r="24" spans="1:24" x14ac:dyDescent="0.45">
      <c r="A24" s="3" t="s">
        <v>59</v>
      </c>
      <c r="B24" s="3" t="s">
        <v>62</v>
      </c>
      <c r="C24" s="3" t="s">
        <v>36</v>
      </c>
      <c r="D24" s="3">
        <v>15</v>
      </c>
      <c r="E24" s="3">
        <v>15</v>
      </c>
      <c r="F24" s="3">
        <v>0</v>
      </c>
      <c r="G24" s="3" t="s">
        <v>37</v>
      </c>
      <c r="H24" s="3">
        <v>15</v>
      </c>
      <c r="I24" s="3">
        <v>14</v>
      </c>
      <c r="J24" s="3">
        <v>-1</v>
      </c>
      <c r="K24" s="3" t="s">
        <v>39</v>
      </c>
      <c r="L24" s="4">
        <v>12599604.98</v>
      </c>
      <c r="M24" s="4">
        <v>12599604.98</v>
      </c>
      <c r="N24" s="4">
        <v>0</v>
      </c>
      <c r="O24" s="6" t="s">
        <v>109</v>
      </c>
      <c r="P24" s="3" t="s">
        <v>37</v>
      </c>
      <c r="Q24" s="4">
        <v>318356</v>
      </c>
      <c r="R24" s="4">
        <v>318356</v>
      </c>
      <c r="S24" s="4"/>
      <c r="T24" s="4">
        <v>0</v>
      </c>
      <c r="U24" s="3" t="s">
        <v>37</v>
      </c>
      <c r="V24" s="4">
        <v>0</v>
      </c>
      <c r="W24" s="4">
        <v>60673.760000000002</v>
      </c>
      <c r="X24" s="3" t="s">
        <v>39</v>
      </c>
    </row>
    <row r="25" spans="1:24" x14ac:dyDescent="0.45">
      <c r="A25" s="3" t="s">
        <v>59</v>
      </c>
      <c r="B25" s="3" t="s">
        <v>63</v>
      </c>
      <c r="C25" s="3" t="s">
        <v>36</v>
      </c>
      <c r="D25" s="3">
        <v>11</v>
      </c>
      <c r="E25" s="3">
        <v>11</v>
      </c>
      <c r="F25" s="3">
        <v>0</v>
      </c>
      <c r="G25" s="3" t="s">
        <v>37</v>
      </c>
      <c r="H25" s="3">
        <v>11</v>
      </c>
      <c r="I25" s="3">
        <v>9</v>
      </c>
      <c r="J25" s="3">
        <v>-2</v>
      </c>
      <c r="K25" s="3" t="s">
        <v>39</v>
      </c>
      <c r="L25" s="7">
        <v>21894162.5</v>
      </c>
      <c r="M25" s="4">
        <v>14305532.5</v>
      </c>
      <c r="N25" s="7">
        <f>M25-L25</f>
        <v>-7588630</v>
      </c>
      <c r="O25" s="6" t="s">
        <v>109</v>
      </c>
      <c r="P25" s="3" t="s">
        <v>37</v>
      </c>
      <c r="Q25" s="7">
        <v>1622150</v>
      </c>
      <c r="R25" s="4">
        <v>29052</v>
      </c>
      <c r="S25" s="4"/>
      <c r="T25" s="7">
        <f>R25-Q25</f>
        <v>-1593098</v>
      </c>
      <c r="U25" s="3" t="s">
        <v>37</v>
      </c>
      <c r="V25" s="4">
        <v>0</v>
      </c>
      <c r="W25" s="4">
        <v>0.01</v>
      </c>
      <c r="X25" s="3" t="s">
        <v>39</v>
      </c>
    </row>
    <row r="26" spans="1:24" x14ac:dyDescent="0.45">
      <c r="A26" s="3" t="s">
        <v>59</v>
      </c>
      <c r="B26" s="3" t="s">
        <v>64</v>
      </c>
      <c r="C26" s="3" t="s">
        <v>36</v>
      </c>
      <c r="D26" s="3">
        <v>25</v>
      </c>
      <c r="E26" s="3">
        <v>25</v>
      </c>
      <c r="F26" s="3">
        <v>0</v>
      </c>
      <c r="G26" s="3" t="s">
        <v>37</v>
      </c>
      <c r="H26" s="3">
        <v>25</v>
      </c>
      <c r="I26" s="3">
        <v>24</v>
      </c>
      <c r="J26" s="3">
        <v>-1</v>
      </c>
      <c r="K26" s="3" t="s">
        <v>39</v>
      </c>
      <c r="L26" s="4">
        <v>12210820</v>
      </c>
      <c r="M26" s="4">
        <v>12210820</v>
      </c>
      <c r="N26" s="4">
        <v>0</v>
      </c>
      <c r="O26" s="6" t="s">
        <v>109</v>
      </c>
      <c r="P26" s="3" t="s">
        <v>37</v>
      </c>
      <c r="Q26" s="4">
        <v>28001</v>
      </c>
      <c r="R26" s="4">
        <v>28001</v>
      </c>
      <c r="S26" s="4"/>
      <c r="T26" s="4">
        <v>0</v>
      </c>
      <c r="U26" s="3" t="s">
        <v>37</v>
      </c>
      <c r="V26" s="4">
        <v>0</v>
      </c>
      <c r="W26" s="4">
        <v>26138.7</v>
      </c>
      <c r="X26" s="3" t="s">
        <v>39</v>
      </c>
    </row>
    <row r="27" spans="1:24" x14ac:dyDescent="0.45">
      <c r="A27" s="3" t="s">
        <v>59</v>
      </c>
      <c r="B27" s="3" t="s">
        <v>65</v>
      </c>
      <c r="C27" s="3" t="s">
        <v>36</v>
      </c>
      <c r="D27" s="3">
        <v>25</v>
      </c>
      <c r="E27" s="3">
        <v>25</v>
      </c>
      <c r="F27" s="3">
        <v>0</v>
      </c>
      <c r="G27" s="3" t="s">
        <v>37</v>
      </c>
      <c r="H27" s="3">
        <v>25</v>
      </c>
      <c r="I27" s="3">
        <v>22</v>
      </c>
      <c r="J27" s="3">
        <v>-3</v>
      </c>
      <c r="K27" s="3" t="s">
        <v>39</v>
      </c>
      <c r="L27" s="4">
        <v>39499896</v>
      </c>
      <c r="M27" s="4">
        <v>39499896</v>
      </c>
      <c r="N27" s="4">
        <v>0</v>
      </c>
      <c r="O27" s="6" t="s">
        <v>109</v>
      </c>
      <c r="P27" s="3" t="s">
        <v>37</v>
      </c>
      <c r="Q27" s="4">
        <v>814734</v>
      </c>
      <c r="R27" s="4">
        <v>814734</v>
      </c>
      <c r="S27" s="4"/>
      <c r="T27" s="4">
        <v>0</v>
      </c>
      <c r="U27" s="3" t="s">
        <v>37</v>
      </c>
      <c r="V27" s="4">
        <v>0</v>
      </c>
      <c r="W27" s="4">
        <v>252680.5</v>
      </c>
      <c r="X27" s="3" t="s">
        <v>39</v>
      </c>
    </row>
    <row r="28" spans="1:24" x14ac:dyDescent="0.45">
      <c r="A28" s="3" t="s">
        <v>59</v>
      </c>
      <c r="B28" s="3" t="s">
        <v>66</v>
      </c>
      <c r="C28" s="3" t="s">
        <v>36</v>
      </c>
      <c r="D28" s="3">
        <v>2</v>
      </c>
      <c r="E28" s="3">
        <v>2</v>
      </c>
      <c r="F28" s="3">
        <v>0</v>
      </c>
      <c r="G28" s="3" t="s">
        <v>37</v>
      </c>
      <c r="H28" s="3">
        <v>2</v>
      </c>
      <c r="I28" s="3">
        <v>2</v>
      </c>
      <c r="J28" s="3">
        <v>0</v>
      </c>
      <c r="K28" s="3" t="s">
        <v>37</v>
      </c>
      <c r="L28" s="4">
        <v>45000</v>
      </c>
      <c r="M28" s="4">
        <v>45000</v>
      </c>
      <c r="N28" s="4">
        <v>0</v>
      </c>
      <c r="O28" s="6" t="s">
        <v>109</v>
      </c>
      <c r="P28" s="3" t="s">
        <v>37</v>
      </c>
      <c r="Q28" s="4">
        <v>226</v>
      </c>
      <c r="R28" s="4">
        <v>226</v>
      </c>
      <c r="S28" s="4"/>
      <c r="T28" s="4">
        <v>0</v>
      </c>
      <c r="U28" s="3" t="s">
        <v>37</v>
      </c>
      <c r="V28" s="4">
        <v>0</v>
      </c>
      <c r="W28" s="4">
        <v>0</v>
      </c>
      <c r="X28" s="3" t="s">
        <v>37</v>
      </c>
    </row>
    <row r="29" spans="1:24" x14ac:dyDescent="0.45">
      <c r="A29" s="3" t="s">
        <v>59</v>
      </c>
      <c r="B29" s="3" t="s">
        <v>67</v>
      </c>
      <c r="C29" s="3" t="s">
        <v>36</v>
      </c>
      <c r="D29" s="3">
        <v>1</v>
      </c>
      <c r="E29" s="3">
        <v>1</v>
      </c>
      <c r="F29" s="3">
        <v>0</v>
      </c>
      <c r="G29" s="3" t="s">
        <v>37</v>
      </c>
      <c r="H29" s="3">
        <v>1</v>
      </c>
      <c r="I29" s="3">
        <v>1</v>
      </c>
      <c r="J29" s="3">
        <v>0</v>
      </c>
      <c r="K29" s="3" t="s">
        <v>37</v>
      </c>
      <c r="L29" s="4">
        <v>315000</v>
      </c>
      <c r="M29" s="4">
        <v>315000</v>
      </c>
      <c r="N29" s="4">
        <v>0</v>
      </c>
      <c r="O29" s="6" t="s">
        <v>109</v>
      </c>
      <c r="P29" s="3" t="s">
        <v>37</v>
      </c>
      <c r="Q29" s="4">
        <v>1529</v>
      </c>
      <c r="R29" s="4">
        <v>1529</v>
      </c>
      <c r="S29" s="4"/>
      <c r="T29" s="4">
        <v>0</v>
      </c>
      <c r="U29" s="3" t="s">
        <v>37</v>
      </c>
      <c r="V29" s="4">
        <v>0</v>
      </c>
      <c r="W29" s="4">
        <v>0</v>
      </c>
      <c r="X29" s="3" t="s">
        <v>37</v>
      </c>
    </row>
    <row r="30" spans="1:24" x14ac:dyDescent="0.45">
      <c r="A30" s="3" t="s">
        <v>59</v>
      </c>
      <c r="B30" s="3" t="s">
        <v>68</v>
      </c>
      <c r="C30" s="3" t="s">
        <v>36</v>
      </c>
      <c r="D30" s="3">
        <v>19</v>
      </c>
      <c r="E30" s="3">
        <v>19</v>
      </c>
      <c r="F30" s="3">
        <v>0</v>
      </c>
      <c r="G30" s="3" t="s">
        <v>37</v>
      </c>
      <c r="H30" s="3">
        <v>19</v>
      </c>
      <c r="I30" s="3">
        <v>15</v>
      </c>
      <c r="J30" s="3">
        <v>-4</v>
      </c>
      <c r="K30" s="3" t="s">
        <v>39</v>
      </c>
      <c r="L30" s="4">
        <v>15032122</v>
      </c>
      <c r="M30" s="4">
        <v>15032122</v>
      </c>
      <c r="N30" s="4">
        <v>0</v>
      </c>
      <c r="O30" s="6" t="s">
        <v>109</v>
      </c>
      <c r="P30" s="3" t="s">
        <v>37</v>
      </c>
      <c r="Q30" s="4">
        <v>80000</v>
      </c>
      <c r="R30" s="4">
        <v>80000</v>
      </c>
      <c r="S30" s="4"/>
      <c r="T30" s="4">
        <v>0</v>
      </c>
      <c r="U30" s="3" t="s">
        <v>37</v>
      </c>
      <c r="V30" s="4">
        <v>0</v>
      </c>
      <c r="W30" s="4">
        <v>141572.42000000001</v>
      </c>
      <c r="X30" s="3" t="s">
        <v>39</v>
      </c>
    </row>
    <row r="31" spans="1:24" x14ac:dyDescent="0.45">
      <c r="A31" s="3" t="s">
        <v>59</v>
      </c>
      <c r="B31" s="3" t="s">
        <v>69</v>
      </c>
      <c r="C31" s="3" t="s">
        <v>70</v>
      </c>
      <c r="D31" s="3">
        <v>2</v>
      </c>
      <c r="E31" s="3">
        <v>2</v>
      </c>
      <c r="F31" s="3">
        <v>0</v>
      </c>
      <c r="G31" s="3" t="s">
        <v>37</v>
      </c>
      <c r="H31" s="3">
        <v>2</v>
      </c>
      <c r="I31" s="3">
        <v>2</v>
      </c>
      <c r="J31" s="3">
        <v>0</v>
      </c>
      <c r="K31" s="3" t="s">
        <v>37</v>
      </c>
      <c r="L31" s="4">
        <v>10838043.359999999</v>
      </c>
      <c r="M31" s="4">
        <v>10838043.359999999</v>
      </c>
      <c r="N31" s="4">
        <v>0</v>
      </c>
      <c r="O31" s="6" t="s">
        <v>109</v>
      </c>
      <c r="P31" s="3" t="s">
        <v>37</v>
      </c>
      <c r="Q31" s="4">
        <v>249552</v>
      </c>
      <c r="R31" s="4">
        <v>249552</v>
      </c>
      <c r="S31" s="4"/>
      <c r="T31" s="4">
        <v>0</v>
      </c>
      <c r="U31" s="3" t="s">
        <v>37</v>
      </c>
      <c r="V31" s="4">
        <v>0</v>
      </c>
      <c r="W31" s="4">
        <v>0</v>
      </c>
      <c r="X31" s="3" t="s">
        <v>37</v>
      </c>
    </row>
    <row r="32" spans="1:24" x14ac:dyDescent="0.45">
      <c r="A32" s="3" t="s">
        <v>59</v>
      </c>
      <c r="B32" s="3" t="s">
        <v>71</v>
      </c>
      <c r="C32" s="3" t="s">
        <v>70</v>
      </c>
      <c r="D32" s="3">
        <v>2</v>
      </c>
      <c r="E32" s="3">
        <v>2</v>
      </c>
      <c r="F32" s="3">
        <v>0</v>
      </c>
      <c r="G32" s="3" t="s">
        <v>37</v>
      </c>
      <c r="H32" s="3">
        <v>2</v>
      </c>
      <c r="I32" s="3">
        <v>2</v>
      </c>
      <c r="J32" s="3">
        <v>0</v>
      </c>
      <c r="K32" s="3" t="s">
        <v>37</v>
      </c>
      <c r="L32" s="4">
        <v>2198860.9</v>
      </c>
      <c r="M32" s="4">
        <v>2198860.9</v>
      </c>
      <c r="N32" s="4">
        <v>0</v>
      </c>
      <c r="O32" s="6" t="s">
        <v>109</v>
      </c>
      <c r="P32" s="3" t="s">
        <v>37</v>
      </c>
      <c r="Q32" s="4">
        <v>50630</v>
      </c>
      <c r="R32" s="4">
        <v>50630</v>
      </c>
      <c r="S32" s="4"/>
      <c r="T32" s="4">
        <v>0</v>
      </c>
      <c r="U32" s="3" t="s">
        <v>37</v>
      </c>
      <c r="V32" s="4">
        <v>0</v>
      </c>
      <c r="W32" s="4">
        <v>0.01</v>
      </c>
      <c r="X32" s="3" t="s">
        <v>39</v>
      </c>
    </row>
    <row r="35" spans="1:2" x14ac:dyDescent="0.45">
      <c r="A35" s="10" t="s">
        <v>45</v>
      </c>
      <c r="B35" s="10" t="s">
        <v>115</v>
      </c>
    </row>
    <row r="36" spans="1:2" x14ac:dyDescent="0.45">
      <c r="A36" s="10" t="s">
        <v>45</v>
      </c>
      <c r="B36" s="10" t="s">
        <v>116</v>
      </c>
    </row>
    <row r="37" spans="1:2" x14ac:dyDescent="0.45">
      <c r="A37" s="10" t="s">
        <v>45</v>
      </c>
      <c r="B37" s="10" t="s">
        <v>117</v>
      </c>
    </row>
    <row r="38" spans="1:2" x14ac:dyDescent="0.45">
      <c r="A38" s="10" t="s">
        <v>45</v>
      </c>
      <c r="B38" s="10" t="s">
        <v>118</v>
      </c>
    </row>
    <row r="39" spans="1:2" x14ac:dyDescent="0.45">
      <c r="A39" s="10" t="s">
        <v>45</v>
      </c>
      <c r="B39" s="10" t="s">
        <v>119</v>
      </c>
    </row>
    <row r="40" spans="1:2" x14ac:dyDescent="0.45">
      <c r="A40" s="10" t="s">
        <v>45</v>
      </c>
      <c r="B40" s="10" t="s">
        <v>120</v>
      </c>
    </row>
    <row r="41" spans="1:2" x14ac:dyDescent="0.45">
      <c r="A41" s="10" t="s">
        <v>45</v>
      </c>
      <c r="B41" s="10" t="s">
        <v>121</v>
      </c>
    </row>
    <row r="42" spans="1:2" x14ac:dyDescent="0.45">
      <c r="A42" s="10" t="s">
        <v>45</v>
      </c>
      <c r="B42" s="10" t="s">
        <v>122</v>
      </c>
    </row>
    <row r="43" spans="1:2" x14ac:dyDescent="0.45">
      <c r="A43" s="10" t="s">
        <v>45</v>
      </c>
      <c r="B43" s="10" t="s">
        <v>123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2"/>
  <sheetViews>
    <sheetView zoomScale="70" zoomScaleNormal="70" workbookViewId="0">
      <pane ySplit="1" topLeftCell="A2" activePane="bottomLeft" state="frozen"/>
      <selection pane="bottomLeft" activeCell="D10" sqref="D10"/>
    </sheetView>
  </sheetViews>
  <sheetFormatPr defaultRowHeight="14.25" x14ac:dyDescent="0.45"/>
  <cols>
    <col min="1" max="3" width="10" customWidth="1"/>
    <col min="4" max="5" width="19" customWidth="1"/>
    <col min="6" max="6" width="24" customWidth="1"/>
    <col min="7" max="7" width="23" customWidth="1"/>
    <col min="8" max="8" width="21" customWidth="1"/>
    <col min="9" max="9" width="24" customWidth="1"/>
    <col min="10" max="10" width="19" customWidth="1"/>
    <col min="11" max="11" width="11" customWidth="1"/>
    <col min="12" max="12" width="22" customWidth="1"/>
    <col min="13" max="14" width="19" customWidth="1"/>
    <col min="15" max="15" width="23" customWidth="1"/>
    <col min="16" max="16" width="26" customWidth="1"/>
    <col min="17" max="17" width="24" customWidth="1"/>
    <col min="18" max="18" width="27" customWidth="1"/>
    <col min="19" max="19" width="24" customWidth="1"/>
    <col min="20" max="20" width="22" customWidth="1"/>
    <col min="21" max="21" width="25" customWidth="1"/>
  </cols>
  <sheetData>
    <row r="1" spans="1:21" x14ac:dyDescent="0.45">
      <c r="A1" s="1" t="s">
        <v>12</v>
      </c>
      <c r="B1" s="1" t="s">
        <v>13</v>
      </c>
      <c r="C1" s="1" t="s">
        <v>14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 x14ac:dyDescent="0.45">
      <c r="A2" t="s">
        <v>34</v>
      </c>
      <c r="B2" t="s">
        <v>35</v>
      </c>
      <c r="C2" t="s">
        <v>36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</row>
    <row r="3" spans="1:21" x14ac:dyDescent="0.45">
      <c r="A3" t="s">
        <v>34</v>
      </c>
      <c r="B3" t="s">
        <v>38</v>
      </c>
      <c r="C3" t="s">
        <v>36</v>
      </c>
      <c r="D3" s="2">
        <v>0</v>
      </c>
      <c r="E3" s="2">
        <v>0</v>
      </c>
      <c r="F3" s="2">
        <v>0</v>
      </c>
      <c r="G3" s="2">
        <v>74881.549800000008</v>
      </c>
      <c r="H3" s="2">
        <v>74881.549800000008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74881.549800000008</v>
      </c>
      <c r="Q3" s="2">
        <v>0</v>
      </c>
      <c r="R3" s="2">
        <v>-74881.549800000008</v>
      </c>
      <c r="S3" s="2">
        <v>0</v>
      </c>
      <c r="T3" s="2">
        <v>0</v>
      </c>
      <c r="U3" s="2">
        <v>0</v>
      </c>
    </row>
    <row r="4" spans="1:21" x14ac:dyDescent="0.45">
      <c r="A4" t="s">
        <v>34</v>
      </c>
      <c r="B4" t="s">
        <v>40</v>
      </c>
      <c r="C4" t="s">
        <v>36</v>
      </c>
      <c r="D4" s="2">
        <v>0</v>
      </c>
      <c r="E4" s="2">
        <v>0</v>
      </c>
      <c r="F4" s="2">
        <v>0</v>
      </c>
      <c r="G4" s="2">
        <v>15000</v>
      </c>
      <c r="H4" s="2">
        <v>15000</v>
      </c>
      <c r="I4" s="2">
        <v>0</v>
      </c>
      <c r="J4" s="2">
        <v>5000</v>
      </c>
      <c r="K4" s="2">
        <v>5000</v>
      </c>
      <c r="L4" s="2">
        <v>0</v>
      </c>
      <c r="M4" s="2">
        <v>0</v>
      </c>
      <c r="N4" s="2">
        <v>0</v>
      </c>
      <c r="O4" s="2">
        <v>0</v>
      </c>
      <c r="P4" s="2">
        <v>65000</v>
      </c>
      <c r="Q4" s="2">
        <v>45000</v>
      </c>
      <c r="R4" s="2">
        <v>-20000</v>
      </c>
      <c r="S4" s="2">
        <v>499997.22283999989</v>
      </c>
      <c r="T4" s="2">
        <v>249998.61</v>
      </c>
      <c r="U4" s="2">
        <v>-249998.61283999999</v>
      </c>
    </row>
    <row r="5" spans="1:21" x14ac:dyDescent="0.45">
      <c r="A5" t="s">
        <v>34</v>
      </c>
      <c r="B5" t="s">
        <v>41</v>
      </c>
      <c r="C5" t="s">
        <v>36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3300</v>
      </c>
      <c r="Q5" s="2">
        <v>3300</v>
      </c>
      <c r="R5" s="2">
        <v>0</v>
      </c>
      <c r="S5" s="2">
        <v>0</v>
      </c>
      <c r="T5" s="2">
        <v>0</v>
      </c>
      <c r="U5" s="2">
        <v>0</v>
      </c>
    </row>
    <row r="6" spans="1:21" x14ac:dyDescent="0.45">
      <c r="A6" t="s">
        <v>34</v>
      </c>
      <c r="B6" t="s">
        <v>42</v>
      </c>
      <c r="C6" t="s">
        <v>36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45">
      <c r="A7" t="s">
        <v>34</v>
      </c>
      <c r="B7" t="s">
        <v>43</v>
      </c>
      <c r="C7" t="s">
        <v>36</v>
      </c>
      <c r="D7" s="2">
        <v>0</v>
      </c>
      <c r="E7" s="2">
        <v>0</v>
      </c>
      <c r="F7" s="2">
        <v>0</v>
      </c>
      <c r="G7" s="2">
        <v>1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x14ac:dyDescent="0.45">
      <c r="A8" t="s">
        <v>34</v>
      </c>
      <c r="B8" t="s">
        <v>44</v>
      </c>
      <c r="C8" t="s">
        <v>36</v>
      </c>
      <c r="D8" s="2">
        <v>-49.44</v>
      </c>
      <c r="E8" s="2">
        <v>-49.44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45">
      <c r="A9" t="s">
        <v>45</v>
      </c>
      <c r="B9" t="s">
        <v>46</v>
      </c>
      <c r="C9" t="s">
        <v>36</v>
      </c>
      <c r="D9" s="2">
        <v>0</v>
      </c>
      <c r="E9" s="2">
        <v>0</v>
      </c>
      <c r="F9" s="2">
        <v>0</v>
      </c>
      <c r="G9" s="2">
        <v>1000</v>
      </c>
      <c r="H9" s="2">
        <v>1000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1000</v>
      </c>
      <c r="Q9" s="2">
        <v>1000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45">
      <c r="A10" t="s">
        <v>45</v>
      </c>
      <c r="B10" t="s">
        <v>47</v>
      </c>
      <c r="C10" t="s">
        <v>36</v>
      </c>
      <c r="D10" s="2">
        <v>10051471.41784998</v>
      </c>
      <c r="E10" s="2">
        <v>10051471.41784999</v>
      </c>
      <c r="F10" s="2">
        <v>7.4505805969238281E-9</v>
      </c>
      <c r="G10" s="2">
        <v>593099.81119999988</v>
      </c>
      <c r="H10" s="2">
        <v>593099.8112</v>
      </c>
      <c r="I10" s="2">
        <v>1.164153218269348E-10</v>
      </c>
      <c r="J10" s="2">
        <v>70603.08719999998</v>
      </c>
      <c r="K10" s="2">
        <v>70603.09</v>
      </c>
      <c r="L10" s="2">
        <v>2.8000000165775418E-3</v>
      </c>
      <c r="M10" s="2">
        <v>57636.979999999989</v>
      </c>
      <c r="N10" s="2">
        <v>57636.98</v>
      </c>
      <c r="O10" s="2">
        <v>1.455191522836685E-11</v>
      </c>
      <c r="P10" s="2">
        <v>508335.76</v>
      </c>
      <c r="Q10" s="2">
        <v>508335.75</v>
      </c>
      <c r="R10" s="2">
        <v>-9.9999999511055648E-3</v>
      </c>
      <c r="S10" s="2">
        <v>6326296.7519999901</v>
      </c>
      <c r="T10" s="2">
        <v>6326296.8099999968</v>
      </c>
      <c r="U10" s="2">
        <v>5.8000006712973118E-2</v>
      </c>
    </row>
    <row r="11" spans="1:21" x14ac:dyDescent="0.45">
      <c r="A11" t="s">
        <v>45</v>
      </c>
      <c r="B11" t="s">
        <v>48</v>
      </c>
      <c r="C11" t="s">
        <v>36</v>
      </c>
      <c r="D11" s="2">
        <v>0</v>
      </c>
      <c r="E11" s="2">
        <v>0</v>
      </c>
      <c r="F11" s="2">
        <v>0</v>
      </c>
      <c r="G11" s="2">
        <v>147000</v>
      </c>
      <c r="H11" s="2">
        <v>147000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122825</v>
      </c>
      <c r="Q11" s="2">
        <v>122825</v>
      </c>
      <c r="R11" s="2">
        <v>0</v>
      </c>
      <c r="S11" s="2">
        <v>401542.86</v>
      </c>
      <c r="T11" s="2">
        <v>401542.86</v>
      </c>
      <c r="U11" s="2">
        <v>0</v>
      </c>
    </row>
    <row r="12" spans="1:21" x14ac:dyDescent="0.45">
      <c r="A12" t="s">
        <v>45</v>
      </c>
      <c r="B12" t="s">
        <v>49</v>
      </c>
      <c r="C12" t="s">
        <v>36</v>
      </c>
      <c r="D12" s="2">
        <v>311038.23</v>
      </c>
      <c r="E12" s="2">
        <v>311038.23</v>
      </c>
      <c r="F12" s="2">
        <v>0</v>
      </c>
      <c r="G12" s="2">
        <v>28500</v>
      </c>
      <c r="H12" s="2">
        <v>28500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26000</v>
      </c>
      <c r="Q12" s="2">
        <v>26000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45">
      <c r="A13" t="s">
        <v>45</v>
      </c>
      <c r="B13" t="s">
        <v>50</v>
      </c>
      <c r="C13" t="s">
        <v>36</v>
      </c>
      <c r="D13" s="2">
        <v>469334.44259999989</v>
      </c>
      <c r="E13" s="2">
        <v>469334.44260000001</v>
      </c>
      <c r="F13" s="2">
        <v>5.8207660913467407E-11</v>
      </c>
      <c r="G13" s="2">
        <v>216840</v>
      </c>
      <c r="H13" s="2">
        <v>216840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193995</v>
      </c>
      <c r="Q13" s="2">
        <v>193995</v>
      </c>
      <c r="R13" s="2">
        <v>0</v>
      </c>
      <c r="S13" s="2">
        <v>963887.60749999993</v>
      </c>
      <c r="T13" s="2">
        <v>963887.62</v>
      </c>
      <c r="U13" s="2">
        <v>1.250000006984919E-2</v>
      </c>
    </row>
    <row r="14" spans="1:21" x14ac:dyDescent="0.45">
      <c r="A14" t="s">
        <v>45</v>
      </c>
      <c r="B14" t="s">
        <v>51</v>
      </c>
      <c r="C14" t="s">
        <v>36</v>
      </c>
      <c r="D14" s="2">
        <v>0</v>
      </c>
      <c r="E14" s="2">
        <v>0</v>
      </c>
      <c r="F14" s="2">
        <v>0</v>
      </c>
      <c r="G14" s="2">
        <v>6600</v>
      </c>
      <c r="H14" s="2">
        <v>6600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0.4</v>
      </c>
      <c r="T14" s="2">
        <v>0</v>
      </c>
      <c r="U14" s="2">
        <v>-0.4</v>
      </c>
    </row>
    <row r="15" spans="1:21" x14ac:dyDescent="0.45">
      <c r="A15" t="s">
        <v>45</v>
      </c>
      <c r="B15" t="s">
        <v>52</v>
      </c>
      <c r="C15" t="s">
        <v>36</v>
      </c>
      <c r="D15" s="2">
        <v>1273767.6156200001</v>
      </c>
      <c r="E15" s="2">
        <v>1273767.6156200001</v>
      </c>
      <c r="F15" s="2">
        <v>0</v>
      </c>
      <c r="G15" s="2">
        <v>40000</v>
      </c>
      <c r="H15" s="2">
        <v>40000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30000</v>
      </c>
      <c r="Q15" s="2">
        <v>30000</v>
      </c>
      <c r="R15" s="2">
        <v>0</v>
      </c>
      <c r="S15" s="2">
        <v>69225.75</v>
      </c>
      <c r="T15" s="2">
        <v>69225.75</v>
      </c>
      <c r="U15" s="2">
        <v>0</v>
      </c>
    </row>
    <row r="16" spans="1:21" x14ac:dyDescent="0.45">
      <c r="A16" t="s">
        <v>45</v>
      </c>
      <c r="B16" t="s">
        <v>53</v>
      </c>
      <c r="C16" t="s">
        <v>36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 x14ac:dyDescent="0.45">
      <c r="A17" t="s">
        <v>45</v>
      </c>
      <c r="B17" t="s">
        <v>54</v>
      </c>
      <c r="C17" t="s">
        <v>36</v>
      </c>
      <c r="D17" s="2">
        <v>0</v>
      </c>
      <c r="E17" s="2">
        <v>0</v>
      </c>
      <c r="F17" s="2">
        <v>0</v>
      </c>
      <c r="G17" s="2">
        <v>7199.9930000000004</v>
      </c>
      <c r="H17" s="2">
        <v>7199.9930000000004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1500</v>
      </c>
      <c r="Q17" s="2">
        <v>1500</v>
      </c>
      <c r="R17" s="2">
        <v>0</v>
      </c>
      <c r="S17" s="2">
        <v>0</v>
      </c>
      <c r="T17" s="2">
        <v>0</v>
      </c>
      <c r="U17" s="2">
        <v>0</v>
      </c>
    </row>
    <row r="18" spans="1:21" x14ac:dyDescent="0.45">
      <c r="A18" t="s">
        <v>45</v>
      </c>
      <c r="B18" t="s">
        <v>55</v>
      </c>
      <c r="C18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1" x14ac:dyDescent="0.45">
      <c r="A19" t="s">
        <v>45</v>
      </c>
      <c r="B19" t="s">
        <v>56</v>
      </c>
      <c r="C19" t="s">
        <v>36</v>
      </c>
      <c r="D19" s="2">
        <v>0</v>
      </c>
      <c r="E19" s="2">
        <v>0</v>
      </c>
      <c r="F19" s="2">
        <v>0</v>
      </c>
      <c r="G19" s="2">
        <v>12272</v>
      </c>
      <c r="H19" s="2">
        <v>12272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</row>
    <row r="20" spans="1:21" x14ac:dyDescent="0.45">
      <c r="A20" t="s">
        <v>45</v>
      </c>
      <c r="B20" t="s">
        <v>57</v>
      </c>
      <c r="C20" t="s">
        <v>36</v>
      </c>
      <c r="D20" s="2">
        <v>392.96</v>
      </c>
      <c r="E20" s="2">
        <v>392.95999999999981</v>
      </c>
      <c r="F20" s="2">
        <v>-2.2737367544323211E-13</v>
      </c>
      <c r="G20" s="2">
        <v>14916</v>
      </c>
      <c r="H20" s="2">
        <v>14916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8914.2775999999994</v>
      </c>
      <c r="Q20" s="2">
        <v>8914.2800000000007</v>
      </c>
      <c r="R20" s="2">
        <v>2.4000000012165401E-3</v>
      </c>
      <c r="S20" s="2">
        <v>0</v>
      </c>
      <c r="T20" s="2">
        <v>0</v>
      </c>
      <c r="U20" s="2">
        <v>0</v>
      </c>
    </row>
    <row r="21" spans="1:21" x14ac:dyDescent="0.45">
      <c r="A21" t="s">
        <v>45</v>
      </c>
      <c r="B21" t="s">
        <v>58</v>
      </c>
      <c r="C21" t="s">
        <v>36</v>
      </c>
      <c r="D21" s="2">
        <v>990461.20299999998</v>
      </c>
      <c r="E21" s="2">
        <v>990461.20299999998</v>
      </c>
      <c r="F21" s="2">
        <v>0</v>
      </c>
      <c r="G21" s="2">
        <v>22100</v>
      </c>
      <c r="H21" s="2">
        <v>22100</v>
      </c>
      <c r="I21" s="2">
        <v>0</v>
      </c>
      <c r="J21" s="2">
        <v>1250</v>
      </c>
      <c r="K21" s="2">
        <v>1250</v>
      </c>
      <c r="L21" s="2">
        <v>0</v>
      </c>
      <c r="M21" s="2">
        <v>0</v>
      </c>
      <c r="N21" s="2">
        <v>0</v>
      </c>
      <c r="O21" s="2">
        <v>0</v>
      </c>
      <c r="P21" s="2">
        <v>16000</v>
      </c>
      <c r="Q21" s="2">
        <v>16000</v>
      </c>
      <c r="R21" s="2">
        <v>0</v>
      </c>
      <c r="S21" s="2">
        <v>658310.13131099998</v>
      </c>
      <c r="T21" s="2">
        <v>658310.13</v>
      </c>
      <c r="U21" s="2">
        <v>-1.310999970883131E-3</v>
      </c>
    </row>
    <row r="22" spans="1:21" x14ac:dyDescent="0.45">
      <c r="A22" t="s">
        <v>59</v>
      </c>
      <c r="B22" t="s">
        <v>60</v>
      </c>
      <c r="C22" t="s">
        <v>36</v>
      </c>
      <c r="D22" s="2">
        <v>24816</v>
      </c>
      <c r="E22" s="2">
        <v>24816</v>
      </c>
      <c r="F22" s="2">
        <v>0</v>
      </c>
      <c r="G22" s="2">
        <v>11512.5</v>
      </c>
      <c r="H22" s="2">
        <v>11512.5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</row>
    <row r="23" spans="1:21" x14ac:dyDescent="0.45">
      <c r="A23" t="s">
        <v>59</v>
      </c>
      <c r="B23" t="s">
        <v>61</v>
      </c>
      <c r="C23" t="s">
        <v>36</v>
      </c>
      <c r="D23" s="2">
        <v>3858224.08</v>
      </c>
      <c r="E23" s="2">
        <v>3858224.08</v>
      </c>
      <c r="F23" s="2">
        <v>0</v>
      </c>
      <c r="G23" s="2">
        <v>324993.77899999998</v>
      </c>
      <c r="H23" s="2">
        <v>324993.77899999998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105000.00423000001</v>
      </c>
      <c r="Q23" s="2">
        <v>105000</v>
      </c>
      <c r="R23" s="2">
        <v>-4.230000005918555E-3</v>
      </c>
      <c r="S23" s="2">
        <v>0</v>
      </c>
      <c r="T23" s="2">
        <v>0</v>
      </c>
      <c r="U23" s="2">
        <v>0</v>
      </c>
    </row>
    <row r="24" spans="1:21" x14ac:dyDescent="0.45">
      <c r="A24" t="s">
        <v>59</v>
      </c>
      <c r="B24" t="s">
        <v>62</v>
      </c>
      <c r="C24" t="s">
        <v>36</v>
      </c>
      <c r="D24" s="2">
        <v>1667042.03</v>
      </c>
      <c r="E24" s="2">
        <v>1667042.03</v>
      </c>
      <c r="F24" s="2">
        <v>-2.328306436538696E-10</v>
      </c>
      <c r="G24" s="2">
        <v>75235.27</v>
      </c>
      <c r="H24" s="2">
        <v>75235.27</v>
      </c>
      <c r="I24" s="2">
        <v>0</v>
      </c>
      <c r="J24" s="2">
        <v>0</v>
      </c>
      <c r="K24" s="2">
        <v>0</v>
      </c>
      <c r="L24" s="2">
        <v>0</v>
      </c>
      <c r="M24" s="2">
        <v>247330.97</v>
      </c>
      <c r="N24" s="2">
        <v>247330.97000000009</v>
      </c>
      <c r="O24" s="2">
        <v>5.8207660913467407E-11</v>
      </c>
      <c r="P24" s="2">
        <v>320673.26</v>
      </c>
      <c r="Q24" s="2">
        <v>259999.5</v>
      </c>
      <c r="R24" s="2">
        <v>-60673.760000000009</v>
      </c>
      <c r="S24" s="2">
        <v>0</v>
      </c>
      <c r="T24" s="2">
        <v>0</v>
      </c>
      <c r="U24" s="2">
        <v>0</v>
      </c>
    </row>
    <row r="25" spans="1:21" x14ac:dyDescent="0.45">
      <c r="A25" t="s">
        <v>59</v>
      </c>
      <c r="B25" t="s">
        <v>63</v>
      </c>
      <c r="C25" t="s">
        <v>36</v>
      </c>
      <c r="D25" s="2">
        <v>1651768.5</v>
      </c>
      <c r="E25" s="2">
        <v>1651768.5</v>
      </c>
      <c r="F25" s="2">
        <v>0</v>
      </c>
      <c r="G25" s="2">
        <v>116680.575</v>
      </c>
      <c r="H25" s="2">
        <v>116680.575</v>
      </c>
      <c r="I25" s="2">
        <v>0</v>
      </c>
      <c r="J25" s="2">
        <v>2500</v>
      </c>
      <c r="K25" s="2">
        <v>2500</v>
      </c>
      <c r="L25" s="2">
        <v>0</v>
      </c>
      <c r="M25" s="2">
        <v>0</v>
      </c>
      <c r="N25" s="2">
        <v>0</v>
      </c>
      <c r="O25" s="2">
        <v>0</v>
      </c>
      <c r="P25" s="2">
        <v>473766.53749999998</v>
      </c>
      <c r="Q25" s="2">
        <v>473766.53</v>
      </c>
      <c r="R25" s="2">
        <v>-7.4999999487772584E-3</v>
      </c>
      <c r="S25" s="2">
        <v>0</v>
      </c>
      <c r="T25" s="2">
        <v>0</v>
      </c>
      <c r="U25" s="2">
        <v>0</v>
      </c>
    </row>
    <row r="26" spans="1:21" x14ac:dyDescent="0.45">
      <c r="A26" t="s">
        <v>59</v>
      </c>
      <c r="B26" t="s">
        <v>64</v>
      </c>
      <c r="C26" t="s">
        <v>36</v>
      </c>
      <c r="D26" s="2">
        <v>859049</v>
      </c>
      <c r="E26" s="2">
        <v>859049</v>
      </c>
      <c r="F26" s="2">
        <v>0</v>
      </c>
      <c r="G26" s="2">
        <v>169996.2</v>
      </c>
      <c r="H26" s="2">
        <v>169996.2</v>
      </c>
      <c r="I26" s="2">
        <v>0</v>
      </c>
      <c r="J26" s="2">
        <v>5008.75</v>
      </c>
      <c r="K26" s="2">
        <v>5008.75</v>
      </c>
      <c r="L26" s="2">
        <v>0</v>
      </c>
      <c r="M26" s="2">
        <v>0</v>
      </c>
      <c r="N26" s="2">
        <v>0</v>
      </c>
      <c r="O26" s="2">
        <v>0</v>
      </c>
      <c r="P26" s="2">
        <v>141932.1</v>
      </c>
      <c r="Q26" s="2">
        <v>115793.4</v>
      </c>
      <c r="R26" s="2">
        <v>-26138.699999999979</v>
      </c>
      <c r="S26" s="2">
        <v>0</v>
      </c>
      <c r="T26" s="2">
        <v>0</v>
      </c>
      <c r="U26" s="2">
        <v>0</v>
      </c>
    </row>
    <row r="27" spans="1:21" x14ac:dyDescent="0.45">
      <c r="A27" t="s">
        <v>59</v>
      </c>
      <c r="B27" t="s">
        <v>65</v>
      </c>
      <c r="C27" t="s">
        <v>36</v>
      </c>
      <c r="D27" s="2">
        <v>5855431.1565000014</v>
      </c>
      <c r="E27" s="2">
        <v>5855431.1564999996</v>
      </c>
      <c r="F27" s="2">
        <v>-9.3132257461547852E-10</v>
      </c>
      <c r="G27" s="2">
        <v>80266.66</v>
      </c>
      <c r="H27" s="2">
        <v>80266.66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704343.97</v>
      </c>
      <c r="Q27" s="2">
        <v>451663.47</v>
      </c>
      <c r="R27" s="2">
        <v>-252680.5</v>
      </c>
      <c r="S27" s="2">
        <v>0</v>
      </c>
      <c r="T27" s="2">
        <v>0</v>
      </c>
      <c r="U27" s="2">
        <v>0</v>
      </c>
    </row>
    <row r="28" spans="1:21" x14ac:dyDescent="0.45">
      <c r="A28" t="s">
        <v>59</v>
      </c>
      <c r="B28" t="s">
        <v>66</v>
      </c>
      <c r="C28" t="s">
        <v>36</v>
      </c>
      <c r="D28" s="2">
        <v>3164</v>
      </c>
      <c r="E28" s="2">
        <v>3164</v>
      </c>
      <c r="F28" s="2">
        <v>0</v>
      </c>
      <c r="G28" s="2">
        <v>1350</v>
      </c>
      <c r="H28" s="2">
        <v>1350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3838.9999996000001</v>
      </c>
      <c r="Q28" s="2">
        <v>3839</v>
      </c>
      <c r="R28" s="2">
        <v>3.9999986256589182E-7</v>
      </c>
      <c r="S28" s="2">
        <v>0</v>
      </c>
      <c r="T28" s="2">
        <v>0</v>
      </c>
      <c r="U28" s="2">
        <v>0</v>
      </c>
    </row>
    <row r="29" spans="1:21" x14ac:dyDescent="0.45">
      <c r="A29" t="s">
        <v>59</v>
      </c>
      <c r="B29" t="s">
        <v>67</v>
      </c>
      <c r="C29" t="s">
        <v>36</v>
      </c>
      <c r="D29" s="2">
        <v>16666.099999999999</v>
      </c>
      <c r="E29" s="2">
        <v>16666.099999999999</v>
      </c>
      <c r="F29" s="2">
        <v>0</v>
      </c>
      <c r="G29" s="2">
        <v>9450</v>
      </c>
      <c r="H29" s="2">
        <v>9450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3622.5</v>
      </c>
      <c r="Q29" s="2">
        <v>3622.5</v>
      </c>
      <c r="R29" s="2">
        <v>0</v>
      </c>
      <c r="S29" s="2">
        <v>0</v>
      </c>
      <c r="T29" s="2">
        <v>0</v>
      </c>
      <c r="U29" s="2">
        <v>0</v>
      </c>
    </row>
    <row r="30" spans="1:21" x14ac:dyDescent="0.45">
      <c r="A30" t="s">
        <v>59</v>
      </c>
      <c r="B30" t="s">
        <v>68</v>
      </c>
      <c r="C30" t="s">
        <v>36</v>
      </c>
      <c r="D30" s="2">
        <v>2191716.7599999998</v>
      </c>
      <c r="E30" s="2">
        <v>2191716.7599999998</v>
      </c>
      <c r="F30" s="2">
        <v>0</v>
      </c>
      <c r="G30" s="2">
        <v>381503.5</v>
      </c>
      <c r="H30" s="2">
        <v>381503.5</v>
      </c>
      <c r="I30" s="2">
        <v>0</v>
      </c>
      <c r="J30" s="2">
        <v>25606.799999999999</v>
      </c>
      <c r="K30" s="2">
        <v>25606.799999999999</v>
      </c>
      <c r="L30" s="2">
        <v>0</v>
      </c>
      <c r="M30" s="2">
        <v>0</v>
      </c>
      <c r="N30" s="2">
        <v>0</v>
      </c>
      <c r="O30" s="2">
        <v>0</v>
      </c>
      <c r="P30" s="2">
        <v>834528.32</v>
      </c>
      <c r="Q30" s="2">
        <v>692955.91</v>
      </c>
      <c r="R30" s="2">
        <v>-141572.40999999989</v>
      </c>
      <c r="S30" s="2">
        <v>25654.800210000001</v>
      </c>
      <c r="T30" s="2">
        <v>25654.81</v>
      </c>
      <c r="U30" s="2">
        <v>9.7899999964283779E-3</v>
      </c>
    </row>
    <row r="31" spans="1:21" x14ac:dyDescent="0.45">
      <c r="A31" t="s">
        <v>59</v>
      </c>
      <c r="B31" t="s">
        <v>69</v>
      </c>
      <c r="C31" t="s">
        <v>70</v>
      </c>
      <c r="D31" s="2">
        <v>2268427.6800000002</v>
      </c>
      <c r="E31" s="2">
        <v>2268427.6800000002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153474.48000000001</v>
      </c>
      <c r="N31" s="2">
        <v>153474.48000000001</v>
      </c>
      <c r="O31" s="2">
        <v>0</v>
      </c>
      <c r="P31" s="2">
        <v>108380.4336</v>
      </c>
      <c r="Q31" s="2">
        <v>108380.43</v>
      </c>
      <c r="R31" s="2">
        <v>-3.6000000109197572E-3</v>
      </c>
      <c r="S31" s="2">
        <v>0</v>
      </c>
      <c r="T31" s="2">
        <v>0</v>
      </c>
      <c r="U31" s="2">
        <v>0</v>
      </c>
    </row>
    <row r="32" spans="1:21" x14ac:dyDescent="0.45">
      <c r="A32" t="s">
        <v>59</v>
      </c>
      <c r="B32" t="s">
        <v>71</v>
      </c>
      <c r="C32" t="s">
        <v>70</v>
      </c>
      <c r="D32" s="2">
        <v>347828.1</v>
      </c>
      <c r="E32" s="2">
        <v>347828.1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21988.609</v>
      </c>
      <c r="Q32" s="2">
        <v>21988.6</v>
      </c>
      <c r="R32" s="2">
        <v>-9.0000000018335413E-3</v>
      </c>
      <c r="S32" s="2">
        <v>0</v>
      </c>
      <c r="T32" s="2">
        <v>0</v>
      </c>
      <c r="U32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zoomScale="70" zoomScaleNormal="7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3" customWidth="1"/>
    <col min="2" max="2" width="11" customWidth="1"/>
    <col min="3" max="3" width="10" customWidth="1"/>
    <col min="4" max="4" width="12" customWidth="1"/>
    <col min="5" max="5" width="30" customWidth="1"/>
    <col min="6" max="6" width="14" customWidth="1"/>
    <col min="7" max="7" width="17" customWidth="1"/>
    <col min="8" max="10" width="20" customWidth="1"/>
    <col min="11" max="11" width="16" customWidth="1"/>
    <col min="12" max="12" width="14" customWidth="1"/>
    <col min="13" max="13" width="17" customWidth="1"/>
    <col min="14" max="15" width="20" customWidth="1"/>
    <col min="16" max="17" width="24" customWidth="1"/>
    <col min="18" max="18" width="22" customWidth="1"/>
    <col min="19" max="19" width="25" customWidth="1"/>
  </cols>
  <sheetData>
    <row r="1" spans="1:19" x14ac:dyDescent="0.45">
      <c r="A1" s="1" t="s">
        <v>12</v>
      </c>
      <c r="B1" s="1" t="s">
        <v>90</v>
      </c>
      <c r="C1" s="1" t="s">
        <v>16</v>
      </c>
      <c r="D1" s="1" t="s">
        <v>17</v>
      </c>
      <c r="E1" s="1" t="s">
        <v>91</v>
      </c>
      <c r="F1" s="1" t="s">
        <v>20</v>
      </c>
      <c r="G1" s="1" t="s">
        <v>21</v>
      </c>
      <c r="H1" s="1" t="s">
        <v>92</v>
      </c>
      <c r="I1" s="1" t="s">
        <v>24</v>
      </c>
      <c r="J1" s="1" t="s">
        <v>25</v>
      </c>
      <c r="K1" s="1" t="s">
        <v>93</v>
      </c>
      <c r="L1" s="1" t="s">
        <v>28</v>
      </c>
      <c r="M1" s="1" t="s">
        <v>29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 x14ac:dyDescent="0.45">
      <c r="A2" t="s">
        <v>45</v>
      </c>
      <c r="B2">
        <v>426</v>
      </c>
      <c r="C2">
        <v>426</v>
      </c>
      <c r="D2">
        <v>0</v>
      </c>
      <c r="E2">
        <v>426</v>
      </c>
      <c r="F2">
        <v>352</v>
      </c>
      <c r="G2">
        <v>-74</v>
      </c>
      <c r="H2" s="2">
        <v>98825449.760000005</v>
      </c>
      <c r="I2" s="2">
        <v>98825450.26000002</v>
      </c>
      <c r="J2" s="2">
        <v>0.50000001490116119</v>
      </c>
      <c r="K2" s="2">
        <v>16295580</v>
      </c>
      <c r="L2" s="2">
        <v>16295580</v>
      </c>
      <c r="M2" s="2">
        <v>0</v>
      </c>
      <c r="N2" s="2">
        <v>14315483.740469979</v>
      </c>
      <c r="O2" s="2">
        <v>14315483.743269989</v>
      </c>
      <c r="P2" s="2">
        <v>2.800008282065392E-3</v>
      </c>
      <c r="Q2" s="2">
        <v>9327833.5384109896</v>
      </c>
      <c r="R2" s="2">
        <v>9327833.1999999974</v>
      </c>
      <c r="S2" s="2">
        <v>-0.33841099217534071</v>
      </c>
    </row>
    <row r="3" spans="1:19" x14ac:dyDescent="0.45">
      <c r="A3" t="s">
        <v>59</v>
      </c>
      <c r="B3">
        <v>105</v>
      </c>
      <c r="C3">
        <v>105</v>
      </c>
      <c r="D3">
        <v>0</v>
      </c>
      <c r="E3">
        <v>105</v>
      </c>
      <c r="F3">
        <v>94</v>
      </c>
      <c r="G3">
        <v>-11</v>
      </c>
      <c r="H3" s="2">
        <v>122416868.40000001</v>
      </c>
      <c r="I3" s="2">
        <v>122416868.40000001</v>
      </c>
      <c r="J3" s="2">
        <v>0</v>
      </c>
      <c r="K3" s="2">
        <v>1597362</v>
      </c>
      <c r="L3" s="2">
        <v>1597362</v>
      </c>
      <c r="M3" s="2">
        <v>0</v>
      </c>
      <c r="N3" s="2">
        <v>20349042.890500009</v>
      </c>
      <c r="O3" s="2">
        <v>20349042.890500002</v>
      </c>
      <c r="P3" s="2">
        <v>-3.7252902984619141E-9</v>
      </c>
      <c r="Q3" s="2">
        <v>2743729.5345395999</v>
      </c>
      <c r="R3" s="2">
        <v>2262664.15</v>
      </c>
      <c r="S3" s="2">
        <v>-481065.38453959947</v>
      </c>
    </row>
    <row r="4" spans="1:19" x14ac:dyDescent="0.45">
      <c r="A4" t="s">
        <v>34</v>
      </c>
      <c r="B4">
        <v>26</v>
      </c>
      <c r="C4">
        <v>26</v>
      </c>
      <c r="D4">
        <v>0</v>
      </c>
      <c r="E4">
        <v>26</v>
      </c>
      <c r="F4">
        <v>23</v>
      </c>
      <c r="G4">
        <v>-3</v>
      </c>
      <c r="H4" s="2">
        <v>5889428.7800000003</v>
      </c>
      <c r="I4" s="2">
        <v>5889428.7800000003</v>
      </c>
      <c r="J4" s="2">
        <v>0</v>
      </c>
      <c r="K4" s="2">
        <v>682235</v>
      </c>
      <c r="L4" s="2">
        <v>682235</v>
      </c>
      <c r="M4" s="2">
        <v>0</v>
      </c>
      <c r="N4" s="2">
        <v>94833.109800000006</v>
      </c>
      <c r="O4" s="2">
        <v>94833.109800000006</v>
      </c>
      <c r="P4" s="2">
        <v>0</v>
      </c>
      <c r="Q4" s="2">
        <v>643178.77263999998</v>
      </c>
      <c r="R4" s="2">
        <v>298298.61</v>
      </c>
      <c r="S4" s="2">
        <v>-344880.16264</v>
      </c>
    </row>
    <row r="5" spans="1:19" x14ac:dyDescent="0.45">
      <c r="A5" t="s">
        <v>100</v>
      </c>
      <c r="B5">
        <v>557</v>
      </c>
      <c r="C5">
        <v>557</v>
      </c>
      <c r="D5">
        <v>0</v>
      </c>
      <c r="E5">
        <v>557</v>
      </c>
      <c r="F5">
        <v>469</v>
      </c>
      <c r="G5">
        <v>-88</v>
      </c>
      <c r="H5" s="2">
        <v>227131746.94</v>
      </c>
      <c r="I5" s="2">
        <v>227131747.44</v>
      </c>
      <c r="J5" s="2">
        <v>0.5</v>
      </c>
      <c r="K5" s="2">
        <v>18575177</v>
      </c>
      <c r="L5" s="2">
        <v>18575177</v>
      </c>
      <c r="M5" s="2">
        <v>0</v>
      </c>
      <c r="N5" s="2">
        <v>34759359.74076999</v>
      </c>
      <c r="O5" s="2">
        <v>34759359.74357</v>
      </c>
      <c r="P5" s="2">
        <v>2.8000101447105412E-3</v>
      </c>
      <c r="Q5" s="2">
        <v>12714741.84559059</v>
      </c>
      <c r="R5" s="2">
        <v>11888795.960000001</v>
      </c>
      <c r="S5" s="2">
        <v>-825945.8855905924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zoomScale="70" zoomScaleNormal="70"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0" customWidth="1"/>
    <col min="3" max="3" width="21" customWidth="1"/>
    <col min="4" max="5" width="19" customWidth="1"/>
    <col min="6" max="6" width="23" customWidth="1"/>
  </cols>
  <sheetData>
    <row r="1" spans="1:6" x14ac:dyDescent="0.45">
      <c r="A1" s="1" t="s">
        <v>12</v>
      </c>
      <c r="B1" s="1" t="s">
        <v>13</v>
      </c>
      <c r="C1" s="1" t="s">
        <v>101</v>
      </c>
      <c r="D1" s="1" t="s">
        <v>102</v>
      </c>
      <c r="E1" s="1" t="s">
        <v>103</v>
      </c>
      <c r="F1" s="1" t="s">
        <v>104</v>
      </c>
    </row>
    <row r="2" spans="1:6" x14ac:dyDescent="0.45">
      <c r="A2" t="s">
        <v>34</v>
      </c>
      <c r="B2" t="s">
        <v>38</v>
      </c>
      <c r="C2" t="s">
        <v>105</v>
      </c>
      <c r="D2" s="2">
        <v>74881.549800000008</v>
      </c>
      <c r="E2" s="2">
        <v>0</v>
      </c>
      <c r="F2" s="2">
        <v>-74881.549800000008</v>
      </c>
    </row>
    <row r="3" spans="1:6" x14ac:dyDescent="0.45">
      <c r="A3" t="s">
        <v>34</v>
      </c>
      <c r="B3" t="s">
        <v>40</v>
      </c>
      <c r="C3" t="s">
        <v>105</v>
      </c>
      <c r="D3" s="2">
        <v>65000</v>
      </c>
      <c r="E3" s="2">
        <v>45000</v>
      </c>
      <c r="F3" s="2">
        <v>-20000</v>
      </c>
    </row>
    <row r="4" spans="1:6" x14ac:dyDescent="0.45">
      <c r="A4" t="s">
        <v>34</v>
      </c>
      <c r="B4" t="s">
        <v>40</v>
      </c>
      <c r="C4" t="s">
        <v>106</v>
      </c>
      <c r="D4" s="2">
        <v>499997.22283999989</v>
      </c>
      <c r="E4" s="2">
        <v>249998.61</v>
      </c>
      <c r="F4" s="2">
        <v>-249998.61283999999</v>
      </c>
    </row>
    <row r="5" spans="1:6" x14ac:dyDescent="0.45">
      <c r="A5" t="s">
        <v>45</v>
      </c>
      <c r="B5" t="s">
        <v>47</v>
      </c>
      <c r="C5" t="s">
        <v>105</v>
      </c>
      <c r="D5" s="2">
        <v>508335.76</v>
      </c>
      <c r="E5" s="2">
        <v>508335.75</v>
      </c>
      <c r="F5" s="2">
        <v>-9.9999999511055648E-3</v>
      </c>
    </row>
    <row r="6" spans="1:6" x14ac:dyDescent="0.45">
      <c r="A6" t="s">
        <v>45</v>
      </c>
      <c r="B6" t="s">
        <v>47</v>
      </c>
      <c r="C6" t="s">
        <v>106</v>
      </c>
      <c r="D6" s="2">
        <v>6326296.7519999901</v>
      </c>
      <c r="E6" s="2">
        <v>6326296.8099999968</v>
      </c>
      <c r="F6" s="2">
        <v>5.8000006712973118E-2</v>
      </c>
    </row>
    <row r="7" spans="1:6" x14ac:dyDescent="0.45">
      <c r="A7" t="s">
        <v>45</v>
      </c>
      <c r="B7" t="s">
        <v>50</v>
      </c>
      <c r="C7" t="s">
        <v>106</v>
      </c>
      <c r="D7" s="2">
        <v>963887.60749999993</v>
      </c>
      <c r="E7" s="2">
        <v>963887.62</v>
      </c>
      <c r="F7" s="2">
        <v>1.250000006984919E-2</v>
      </c>
    </row>
    <row r="8" spans="1:6" x14ac:dyDescent="0.45">
      <c r="A8" t="s">
        <v>45</v>
      </c>
      <c r="B8" t="s">
        <v>51</v>
      </c>
      <c r="C8" t="s">
        <v>106</v>
      </c>
      <c r="D8" s="2">
        <v>0.4</v>
      </c>
      <c r="E8" s="2">
        <v>0</v>
      </c>
      <c r="F8" s="2">
        <v>-0.4</v>
      </c>
    </row>
    <row r="9" spans="1:6" x14ac:dyDescent="0.45">
      <c r="A9" t="s">
        <v>45</v>
      </c>
      <c r="B9" t="s">
        <v>56</v>
      </c>
      <c r="C9" t="s">
        <v>107</v>
      </c>
      <c r="D9" s="2">
        <v>611772.19999999995</v>
      </c>
      <c r="E9" s="2">
        <v>611772.69999999995</v>
      </c>
      <c r="F9" s="2">
        <v>0.5</v>
      </c>
    </row>
    <row r="10" spans="1:6" x14ac:dyDescent="0.45">
      <c r="A10" t="s">
        <v>59</v>
      </c>
      <c r="B10" t="s">
        <v>62</v>
      </c>
      <c r="C10" t="s">
        <v>105</v>
      </c>
      <c r="D10" s="2">
        <v>320673.26</v>
      </c>
      <c r="E10" s="2">
        <v>259999.5</v>
      </c>
      <c r="F10" s="2">
        <v>-60673.760000000009</v>
      </c>
    </row>
    <row r="11" spans="1:6" x14ac:dyDescent="0.45">
      <c r="A11" t="s">
        <v>59</v>
      </c>
      <c r="B11" t="s">
        <v>63</v>
      </c>
      <c r="C11" t="s">
        <v>105</v>
      </c>
      <c r="D11" s="2">
        <v>473766.53749999998</v>
      </c>
      <c r="E11" s="2">
        <v>473766.53</v>
      </c>
      <c r="F11" s="2">
        <v>-7.4999999487772584E-3</v>
      </c>
    </row>
    <row r="12" spans="1:6" x14ac:dyDescent="0.45">
      <c r="A12" t="s">
        <v>59</v>
      </c>
      <c r="B12" t="s">
        <v>64</v>
      </c>
      <c r="C12" t="s">
        <v>105</v>
      </c>
      <c r="D12" s="2">
        <v>141932.1</v>
      </c>
      <c r="E12" s="2">
        <v>115793.4</v>
      </c>
      <c r="F12" s="2">
        <v>-26138.699999999979</v>
      </c>
    </row>
    <row r="13" spans="1:6" x14ac:dyDescent="0.45">
      <c r="A13" t="s">
        <v>59</v>
      </c>
      <c r="B13" t="s">
        <v>65</v>
      </c>
      <c r="C13" t="s">
        <v>105</v>
      </c>
      <c r="D13" s="2">
        <v>704343.97</v>
      </c>
      <c r="E13" s="2">
        <v>451663.47</v>
      </c>
      <c r="F13" s="2">
        <v>-252680.5</v>
      </c>
    </row>
    <row r="14" spans="1:6" x14ac:dyDescent="0.45">
      <c r="A14" t="s">
        <v>59</v>
      </c>
      <c r="B14" t="s">
        <v>68</v>
      </c>
      <c r="C14" t="s">
        <v>105</v>
      </c>
      <c r="D14" s="2">
        <v>834528.32</v>
      </c>
      <c r="E14" s="2">
        <v>692955.91</v>
      </c>
      <c r="F14" s="2">
        <v>-141572.40999999989</v>
      </c>
    </row>
    <row r="15" spans="1:6" x14ac:dyDescent="0.45">
      <c r="A15" t="s">
        <v>59</v>
      </c>
      <c r="B15" t="s">
        <v>68</v>
      </c>
      <c r="C15" t="s">
        <v>106</v>
      </c>
      <c r="D15" s="2">
        <v>25654.800210000001</v>
      </c>
      <c r="E15" s="2">
        <v>25654.81</v>
      </c>
      <c r="F15" s="2">
        <v>9.7899999964283779E-3</v>
      </c>
    </row>
    <row r="16" spans="1:6" x14ac:dyDescent="0.45">
      <c r="A16" t="s">
        <v>59</v>
      </c>
      <c r="B16" t="s">
        <v>71</v>
      </c>
      <c r="C16" t="s">
        <v>105</v>
      </c>
      <c r="D16" s="2">
        <v>21988.609</v>
      </c>
      <c r="E16" s="2">
        <v>21988.6</v>
      </c>
      <c r="F16" s="2">
        <v>-9.0000000018335413E-3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EA13C4-6166-476B-B8B3-834508DCF536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Vehicle_Summary</vt:lpstr>
      <vt:lpstr>Fees_Commissions_By_Vehicle</vt:lpstr>
      <vt:lpstr>Scope_Totals</vt:lpstr>
      <vt:lpstr>Deltas_To_Review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D</cp:lastModifiedBy>
  <dcterms:created xsi:type="dcterms:W3CDTF">2026-02-15T23:21:52Z</dcterms:created>
  <dcterms:modified xsi:type="dcterms:W3CDTF">2026-02-16T11:18:02Z</dcterms:modified>
</cp:coreProperties>
</file>