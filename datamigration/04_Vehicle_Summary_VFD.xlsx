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VERSO CAPITAL\VERSO SOFTWARE\VERSO TECH\DATA MIGRATION\"/>
    </mc:Choice>
  </mc:AlternateContent>
  <xr:revisionPtr revIDLastSave="0" documentId="13_ncr:1_{1BE495CD-00C5-4104-A811-D457D8D1696B}" xr6:coauthVersionLast="47" xr6:coauthVersionMax="47" xr10:uidLastSave="{00000000-0000-0000-0000-000000000000}"/>
  <bookViews>
    <workbookView xWindow="-98" yWindow="-98" windowWidth="21795" windowHeight="12975" tabRatio="501" xr2:uid="{00000000-000D-0000-FFFF-FFFF00000000}"/>
  </bookViews>
  <sheets>
    <sheet name="Vehicle Summary" sheetId="1" r:id="rId1"/>
  </sheets>
  <calcPr calcId="191029"/>
</workbook>
</file>

<file path=xl/calcChain.xml><?xml version="1.0" encoding="utf-8"?>
<calcChain xmlns="http://schemas.openxmlformats.org/spreadsheetml/2006/main">
  <c r="J21" i="1" l="1"/>
  <c r="K20" i="1"/>
  <c r="J16" i="1"/>
  <c r="J15" i="1"/>
  <c r="K8" i="1" l="1"/>
  <c r="I8" i="1"/>
  <c r="K7" i="1"/>
  <c r="I6" i="1"/>
  <c r="K6" i="1"/>
  <c r="J6" i="1"/>
  <c r="J5" i="1"/>
  <c r="J4" i="1"/>
  <c r="J3" i="1"/>
  <c r="K3" i="1" s="1"/>
  <c r="K2" i="1"/>
  <c r="I5" i="1"/>
  <c r="I4" i="1"/>
  <c r="I3" i="1"/>
  <c r="I2" i="1"/>
</calcChain>
</file>

<file path=xl/sharedStrings.xml><?xml version="1.0" encoding="utf-8"?>
<sst xmlns="http://schemas.openxmlformats.org/spreadsheetml/2006/main" count="104" uniqueCount="79">
  <si>
    <t>Entity Code</t>
  </si>
  <si>
    <t>Vehicle Name</t>
  </si>
  <si>
    <t>Subscriptions</t>
  </si>
  <si>
    <t>Total Committed</t>
  </si>
  <si>
    <t>Total Funded</t>
  </si>
  <si>
    <t>Total Shares</t>
  </si>
  <si>
    <t>IN101</t>
  </si>
  <si>
    <t>VERSO Capital 1 SCSP Series IN101</t>
  </si>
  <si>
    <t>IN102</t>
  </si>
  <si>
    <t>VERSO Capital 1 SCSP Series IN102</t>
  </si>
  <si>
    <t>IN103</t>
  </si>
  <si>
    <t>VERSO Capital 1 SCSP Series IN103</t>
  </si>
  <si>
    <t>IN106</t>
  </si>
  <si>
    <t>VERSO Capital 1 SCSP Series IN106</t>
  </si>
  <si>
    <t>IN109</t>
  </si>
  <si>
    <t>VERSO Capital 1 SCSP Series IN109</t>
  </si>
  <si>
    <t>IN110</t>
  </si>
  <si>
    <t>VERSO Capital 1 SCSP Series IN110</t>
  </si>
  <si>
    <t>IN111</t>
  </si>
  <si>
    <t>VERSO Capital 1 SCSP Series IN111</t>
  </si>
  <si>
    <t>VC102</t>
  </si>
  <si>
    <t>VERSO Capital 1 SCSP Series 102</t>
  </si>
  <si>
    <t>VC106</t>
  </si>
  <si>
    <t>VERSO Capital 1 SCSP Series 106</t>
  </si>
  <si>
    <t>VC109</t>
  </si>
  <si>
    <t>VERSO Capital 1 SCSP Series 109</t>
  </si>
  <si>
    <t>VC111</t>
  </si>
  <si>
    <t>VERSO Capital 1 SCSP Series 111</t>
  </si>
  <si>
    <t>VC112</t>
  </si>
  <si>
    <t>VERSO Capital 1 SCSP Series 112</t>
  </si>
  <si>
    <t>VC113</t>
  </si>
  <si>
    <t>VERSO Capital 1 SCSP Series 113</t>
  </si>
  <si>
    <t>VC114</t>
  </si>
  <si>
    <t>VERSO Capital 1 SCSP Series 114</t>
  </si>
  <si>
    <t>VC118</t>
  </si>
  <si>
    <t>VERSO Capital 1 SCSP Series 118</t>
  </si>
  <si>
    <t>VC121</t>
  </si>
  <si>
    <t>VERSO Capital 1 SCSP Series 121</t>
  </si>
  <si>
    <t>VC122</t>
  </si>
  <si>
    <t>VERSO Capital 1 SCSP Series 122</t>
  </si>
  <si>
    <t>VC123</t>
  </si>
  <si>
    <t>VERSO Capital 1 SCSP Series 123</t>
  </si>
  <si>
    <t>VC124</t>
  </si>
  <si>
    <t>VERSO Capital 1 SCSP Series 124</t>
  </si>
  <si>
    <t>VC125</t>
  </si>
  <si>
    <t>VERSO Capital 1 SCSP Series 125</t>
  </si>
  <si>
    <t>VC126</t>
  </si>
  <si>
    <t>VERSO Capital 1 SCSP Series 126</t>
  </si>
  <si>
    <t>VC128</t>
  </si>
  <si>
    <t>VERSO Capital 1 SCSP Series 128</t>
  </si>
  <si>
    <t>VC130</t>
  </si>
  <si>
    <t>VERSO Capital 1 SCSP Series 130</t>
  </si>
  <si>
    <t>VC131</t>
  </si>
  <si>
    <t>VERSO Capital 1 SCSP Series 131</t>
  </si>
  <si>
    <t>VC132</t>
  </si>
  <si>
    <t>VERSO Capital 1 SCSP Series 132</t>
  </si>
  <si>
    <t>VC133</t>
  </si>
  <si>
    <t>VERSO Capital 1 SCSP Series 133</t>
  </si>
  <si>
    <t>VC138</t>
  </si>
  <si>
    <t>VERSO Capital 1 SCSP Series 138</t>
  </si>
  <si>
    <t>VC140</t>
  </si>
  <si>
    <t>VERSO Capital 1 SCSP Series 140</t>
  </si>
  <si>
    <t>VC141</t>
  </si>
  <si>
    <t>VERSO Capital 1 SCSP Series 141</t>
  </si>
  <si>
    <t>VC143</t>
  </si>
  <si>
    <t>VERSO Capital 1 SCSP Series 143</t>
  </si>
  <si>
    <t>TOTALS</t>
  </si>
  <si>
    <t>Total funded_correction</t>
  </si>
  <si>
    <t>total Shares_correction</t>
  </si>
  <si>
    <t>TOTAL Position_correction</t>
  </si>
  <si>
    <t>Currency</t>
  </si>
  <si>
    <t>USD</t>
  </si>
  <si>
    <t>ETH</t>
  </si>
  <si>
    <t>NEED TO REDUCE Global Custody from the final count</t>
  </si>
  <si>
    <t>TO BE EXCLUDED</t>
  </si>
  <si>
    <t>CHF</t>
  </si>
  <si>
    <t>WE CANNOT ADD ALL Series amounts as currencies are different</t>
  </si>
  <si>
    <t>EUR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</si>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</sst>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" fontId="0" fillId="0" borderId="0" xfId="0" applyNumberFormat="1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165" fontId="2" fillId="2" borderId="2" xfId="1" applyNumberFormat="1" applyFont="1" applyFill="1" applyBorder="1" applyAlignment="1">
      <alignment horizontal="center" vertical="center"/>
    </xf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center"/>
    </xf>
    <xf numFmtId="4" fontId="0" fillId="3" borderId="0" xfId="0" applyNumberFormat="1" applyFill="1"/>
    <xf numFmtId="165" fontId="0" fillId="3" borderId="0" xfId="1" applyNumberFormat="1" applyFont="1" applyFill="1"/>
    <xf numFmtId="165" fontId="0" fillId="3" borderId="0" xfId="0" applyNumberFormat="1" applyFill="1"/>
    <xf numFmtId="0" fontId="0" fillId="3" borderId="0" xfId="0" applyFill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3" fontId="0" fillId="0" borderId="0" xfId="0" applyNumberFormat="1"/>
    <xf numFmtId="0" fontId="0" fillId="3" borderId="0" xfId="0" applyFill="1"/>
    <xf numFmtId="3" fontId="0" fillId="3" borderId="0" xfId="0" applyNumberFormat="1" applyFill="1"/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="80" zoomScaleNormal="80" workbookViewId="0">
      <selection activeCell="B17" sqref="B17"/>
    </sheetView>
  </sheetViews>
  <sheetFormatPr defaultRowHeight="14.25" x14ac:dyDescent="0.45"/>
  <cols>
    <col min="1" max="1" width="10.06640625" style="8" bestFit="1" customWidth="1"/>
    <col min="2" max="2" width="35" customWidth="1"/>
    <col min="3" max="3" width="15" customWidth="1"/>
    <col min="4" max="4" width="20" customWidth="1"/>
    <col min="5" max="5" width="19" customWidth="1"/>
    <col min="6" max="6" width="14" customWidth="1"/>
    <col min="7" max="7" width="0.796875" customWidth="1"/>
    <col min="8" max="8" width="20.46484375" customWidth="1"/>
    <col min="9" max="9" width="20.46484375" bestFit="1" customWidth="1"/>
    <col min="10" max="10" width="19.73046875" style="6" bestFit="1" customWidth="1"/>
    <col min="11" max="11" width="22.3984375" style="7" bestFit="1" customWidth="1"/>
    <col min="12" max="12" width="9.06640625" style="8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3" t="s">
        <v>2</v>
      </c>
      <c r="I1" s="4" t="s">
        <v>67</v>
      </c>
      <c r="J1" s="5" t="s">
        <v>68</v>
      </c>
      <c r="K1" s="5" t="s">
        <v>69</v>
      </c>
      <c r="L1" s="5" t="s">
        <v>70</v>
      </c>
    </row>
    <row r="2" spans="1:13" x14ac:dyDescent="0.45">
      <c r="A2" s="8" t="s">
        <v>6</v>
      </c>
      <c r="B2" t="s">
        <v>7</v>
      </c>
      <c r="C2">
        <v>1</v>
      </c>
      <c r="D2" s="2">
        <v>914481.12</v>
      </c>
      <c r="E2">
        <v>0</v>
      </c>
      <c r="F2" s="2">
        <v>23.52</v>
      </c>
      <c r="H2" s="14"/>
      <c r="I2" s="2">
        <f>D2</f>
        <v>914481.12</v>
      </c>
      <c r="J2" s="6">
        <v>38881</v>
      </c>
      <c r="K2" s="7">
        <f>J2</f>
        <v>38881</v>
      </c>
      <c r="L2" s="8" t="s">
        <v>71</v>
      </c>
    </row>
    <row r="3" spans="1:13" x14ac:dyDescent="0.45">
      <c r="A3" s="8" t="s">
        <v>8</v>
      </c>
      <c r="B3" t="s">
        <v>9</v>
      </c>
      <c r="C3">
        <v>8</v>
      </c>
      <c r="D3" s="2">
        <v>2512609.2200000002</v>
      </c>
      <c r="E3">
        <v>0</v>
      </c>
      <c r="F3" s="2">
        <v>603</v>
      </c>
      <c r="H3" s="14"/>
      <c r="I3" s="2">
        <f>D3</f>
        <v>2512609.2200000002</v>
      </c>
      <c r="J3" s="6">
        <f>F3</f>
        <v>603</v>
      </c>
      <c r="K3" s="7">
        <f>J3</f>
        <v>603</v>
      </c>
      <c r="L3" s="8" t="s">
        <v>71</v>
      </c>
    </row>
    <row r="4" spans="1:13" x14ac:dyDescent="0.45">
      <c r="A4" s="8" t="s">
        <v>10</v>
      </c>
      <c r="B4" t="s">
        <v>11</v>
      </c>
      <c r="C4">
        <v>10</v>
      </c>
      <c r="D4" s="2">
        <v>3250000</v>
      </c>
      <c r="E4">
        <v>0</v>
      </c>
      <c r="F4" s="2">
        <v>544013</v>
      </c>
      <c r="H4" s="14"/>
      <c r="I4" s="2">
        <f>D4</f>
        <v>3250000</v>
      </c>
      <c r="J4" s="6">
        <f>F4</f>
        <v>544013</v>
      </c>
      <c r="K4" s="7">
        <v>302229</v>
      </c>
      <c r="L4" s="8" t="s">
        <v>71</v>
      </c>
    </row>
    <row r="5" spans="1:13" x14ac:dyDescent="0.45">
      <c r="A5" s="8" t="s">
        <v>12</v>
      </c>
      <c r="B5" t="s">
        <v>13</v>
      </c>
      <c r="C5">
        <v>2</v>
      </c>
      <c r="D5" s="2">
        <v>340000</v>
      </c>
      <c r="E5">
        <v>0</v>
      </c>
      <c r="F5" s="2">
        <v>68164</v>
      </c>
      <c r="H5" s="14"/>
      <c r="I5" s="2">
        <f>D5</f>
        <v>340000</v>
      </c>
      <c r="J5" s="6">
        <f>F5</f>
        <v>68164</v>
      </c>
      <c r="K5" s="7">
        <v>2004</v>
      </c>
      <c r="L5" s="8" t="s">
        <v>71</v>
      </c>
    </row>
    <row r="6" spans="1:13" x14ac:dyDescent="0.45">
      <c r="A6" s="8" t="s">
        <v>14</v>
      </c>
      <c r="B6" t="s">
        <v>15</v>
      </c>
      <c r="C6">
        <v>1</v>
      </c>
      <c r="D6" s="2">
        <v>595000</v>
      </c>
      <c r="E6">
        <v>0</v>
      </c>
      <c r="F6" s="2">
        <v>6071</v>
      </c>
      <c r="H6" s="14"/>
      <c r="I6" s="2">
        <f>+D6</f>
        <v>595000</v>
      </c>
      <c r="J6" s="6">
        <f>+F6</f>
        <v>6071</v>
      </c>
      <c r="K6" s="7">
        <f>+F6</f>
        <v>6071</v>
      </c>
      <c r="L6" s="8" t="s">
        <v>71</v>
      </c>
    </row>
    <row r="7" spans="1:13" x14ac:dyDescent="0.45">
      <c r="A7" s="8" t="s">
        <v>16</v>
      </c>
      <c r="B7" t="s">
        <v>17</v>
      </c>
      <c r="C7">
        <v>5</v>
      </c>
      <c r="D7" s="2">
        <v>75</v>
      </c>
      <c r="E7">
        <v>0</v>
      </c>
      <c r="F7" s="2">
        <v>300000</v>
      </c>
      <c r="H7" s="14"/>
      <c r="I7" s="2">
        <v>63.75</v>
      </c>
      <c r="J7" s="6">
        <v>255000</v>
      </c>
      <c r="K7" s="7">
        <f>+J7</f>
        <v>255000</v>
      </c>
      <c r="L7" s="8" t="s">
        <v>72</v>
      </c>
    </row>
    <row r="8" spans="1:13" x14ac:dyDescent="0.45">
      <c r="A8" s="8" t="s">
        <v>18</v>
      </c>
      <c r="B8" t="s">
        <v>19</v>
      </c>
      <c r="C8">
        <v>3</v>
      </c>
      <c r="D8" s="2">
        <v>107263.44</v>
      </c>
      <c r="E8">
        <v>0</v>
      </c>
      <c r="F8" s="2">
        <v>77447</v>
      </c>
      <c r="H8" s="14"/>
      <c r="I8" s="2">
        <f>+D8</f>
        <v>107263.44</v>
      </c>
      <c r="J8" s="6">
        <v>2522</v>
      </c>
      <c r="K8" s="7">
        <f>+J8</f>
        <v>2522</v>
      </c>
      <c r="L8" s="8" t="s">
        <v>71</v>
      </c>
    </row>
    <row r="9" spans="1:13" x14ac:dyDescent="0.45">
      <c r="A9" s="8" t="s">
        <v>20</v>
      </c>
      <c r="B9" t="s">
        <v>21</v>
      </c>
      <c r="C9">
        <v>7</v>
      </c>
      <c r="D9" s="2">
        <v>575003</v>
      </c>
      <c r="E9" s="2">
        <v>575003</v>
      </c>
      <c r="F9" s="2">
        <v>279000</v>
      </c>
      <c r="H9" s="14"/>
      <c r="I9" s="2"/>
      <c r="J9" s="6">
        <v>279000</v>
      </c>
      <c r="K9" s="7">
        <v>154000</v>
      </c>
      <c r="L9" s="8" t="s">
        <v>71</v>
      </c>
    </row>
    <row r="10" spans="1:13" x14ac:dyDescent="0.45">
      <c r="A10" s="8" t="s">
        <v>22</v>
      </c>
      <c r="B10" t="s">
        <v>23</v>
      </c>
      <c r="C10">
        <v>194</v>
      </c>
      <c r="D10" s="2">
        <v>45087384.32</v>
      </c>
      <c r="E10" s="2">
        <v>45087384.32</v>
      </c>
      <c r="F10" s="2">
        <v>1950773</v>
      </c>
      <c r="H10" s="16"/>
      <c r="I10" s="9"/>
      <c r="J10" s="10"/>
      <c r="K10" s="11"/>
      <c r="L10" s="12" t="s">
        <v>71</v>
      </c>
      <c r="M10" t="s">
        <v>73</v>
      </c>
    </row>
    <row r="11" spans="1:13" x14ac:dyDescent="0.45">
      <c r="A11" s="12" t="s">
        <v>24</v>
      </c>
      <c r="B11" s="15" t="s">
        <v>25</v>
      </c>
      <c r="C11" s="15">
        <v>1</v>
      </c>
      <c r="D11" s="9">
        <v>200000</v>
      </c>
      <c r="E11" s="9">
        <v>200000</v>
      </c>
      <c r="F11" s="9">
        <v>8503</v>
      </c>
      <c r="G11" s="15"/>
      <c r="H11" s="16"/>
      <c r="I11" s="9"/>
      <c r="J11" s="10"/>
      <c r="K11" s="11"/>
      <c r="L11" s="12"/>
      <c r="M11" t="s">
        <v>74</v>
      </c>
    </row>
    <row r="12" spans="1:13" x14ac:dyDescent="0.45">
      <c r="A12" s="8" t="s">
        <v>26</v>
      </c>
      <c r="B12" t="s">
        <v>27</v>
      </c>
      <c r="C12">
        <v>5</v>
      </c>
      <c r="D12" s="2">
        <v>470000</v>
      </c>
      <c r="E12" s="2">
        <v>470000</v>
      </c>
      <c r="F12" s="2">
        <v>470000</v>
      </c>
      <c r="H12" s="14"/>
      <c r="I12" s="2">
        <v>8221428.5700000003</v>
      </c>
      <c r="J12" s="6">
        <v>7750000</v>
      </c>
      <c r="K12" s="7">
        <v>6750000</v>
      </c>
      <c r="L12" s="8" t="s">
        <v>71</v>
      </c>
    </row>
    <row r="13" spans="1:13" x14ac:dyDescent="0.45">
      <c r="A13" s="8" t="s">
        <v>28</v>
      </c>
      <c r="B13" t="s">
        <v>29</v>
      </c>
      <c r="C13">
        <v>25</v>
      </c>
      <c r="D13" s="2">
        <v>2796196.15</v>
      </c>
      <c r="E13" s="2">
        <v>2796196.15</v>
      </c>
      <c r="F13" s="2">
        <v>2284009</v>
      </c>
      <c r="H13" s="14"/>
      <c r="I13" s="2"/>
      <c r="J13" s="6">
        <v>2250027</v>
      </c>
      <c r="K13" s="7">
        <v>1959129</v>
      </c>
      <c r="L13" s="8" t="s">
        <v>71</v>
      </c>
    </row>
    <row r="14" spans="1:13" x14ac:dyDescent="0.45">
      <c r="A14" s="8" t="s">
        <v>30</v>
      </c>
      <c r="B14" t="s">
        <v>31</v>
      </c>
      <c r="C14">
        <v>72</v>
      </c>
      <c r="D14" s="2">
        <v>29184740.510000002</v>
      </c>
      <c r="E14" s="2">
        <v>29184740.510000002</v>
      </c>
      <c r="F14" s="2">
        <v>1134152</v>
      </c>
      <c r="H14" s="14"/>
      <c r="I14" s="2">
        <v>29684740.510000002</v>
      </c>
      <c r="J14" s="6">
        <v>1152786</v>
      </c>
      <c r="K14" s="7">
        <v>879091</v>
      </c>
      <c r="L14" s="8" t="s">
        <v>71</v>
      </c>
    </row>
    <row r="15" spans="1:13" x14ac:dyDescent="0.45">
      <c r="A15" s="8" t="s">
        <v>32</v>
      </c>
      <c r="B15" t="s">
        <v>33</v>
      </c>
      <c r="C15">
        <v>4</v>
      </c>
      <c r="D15" s="2">
        <v>860000</v>
      </c>
      <c r="E15" s="2">
        <v>860000</v>
      </c>
      <c r="F15" s="2">
        <v>860000</v>
      </c>
      <c r="H15" s="14"/>
      <c r="I15" s="2"/>
      <c r="J15" s="6">
        <f>+F15</f>
        <v>860000</v>
      </c>
      <c r="K15" s="7">
        <v>530000</v>
      </c>
      <c r="L15" s="8" t="s">
        <v>71</v>
      </c>
    </row>
    <row r="16" spans="1:13" x14ac:dyDescent="0.45">
      <c r="A16" s="8" t="s">
        <v>34</v>
      </c>
      <c r="B16" t="s">
        <v>35</v>
      </c>
      <c r="C16">
        <v>7</v>
      </c>
      <c r="D16" s="2">
        <v>2192270.0099999998</v>
      </c>
      <c r="E16" s="2">
        <v>2192270.0099999998</v>
      </c>
      <c r="F16" s="2">
        <v>268324</v>
      </c>
      <c r="H16" s="14"/>
      <c r="I16" s="2"/>
      <c r="J16" s="6">
        <f>+F16</f>
        <v>268324</v>
      </c>
      <c r="K16" s="7">
        <v>150000</v>
      </c>
      <c r="L16" s="8" t="s">
        <v>71</v>
      </c>
    </row>
    <row r="17" spans="1:12" x14ac:dyDescent="0.45">
      <c r="A17" s="8" t="s">
        <v>36</v>
      </c>
      <c r="B17" t="s">
        <v>37</v>
      </c>
      <c r="C17">
        <v>2</v>
      </c>
      <c r="D17" s="2">
        <v>100000</v>
      </c>
      <c r="E17" s="2">
        <v>100000</v>
      </c>
      <c r="F17" s="2">
        <v>172413</v>
      </c>
      <c r="H17" s="14"/>
      <c r="I17" s="2"/>
      <c r="L17" s="8" t="s">
        <v>75</v>
      </c>
    </row>
    <row r="18" spans="1:12" x14ac:dyDescent="0.45">
      <c r="A18" s="8" t="s">
        <v>38</v>
      </c>
      <c r="B18" t="s">
        <v>39</v>
      </c>
      <c r="C18">
        <v>3</v>
      </c>
      <c r="D18" s="2">
        <v>184999.65</v>
      </c>
      <c r="E18" s="2">
        <v>184999.65</v>
      </c>
      <c r="F18" s="2">
        <v>295842</v>
      </c>
      <c r="H18" s="14">
        <v>10</v>
      </c>
      <c r="I18" s="2">
        <v>609999.30000000005</v>
      </c>
      <c r="J18" s="6">
        <v>709998</v>
      </c>
      <c r="K18" s="7">
        <v>734440</v>
      </c>
      <c r="L18" s="8" t="s">
        <v>71</v>
      </c>
    </row>
    <row r="19" spans="1:12" x14ac:dyDescent="0.45">
      <c r="A19" s="8" t="s">
        <v>40</v>
      </c>
      <c r="B19" t="s">
        <v>41</v>
      </c>
      <c r="C19">
        <v>1</v>
      </c>
      <c r="D19" s="2">
        <v>100000</v>
      </c>
      <c r="E19" s="2">
        <v>100000</v>
      </c>
      <c r="F19" s="2">
        <v>100000</v>
      </c>
      <c r="H19" s="14"/>
      <c r="I19" s="2"/>
      <c r="L19" s="8" t="s">
        <v>71</v>
      </c>
    </row>
    <row r="20" spans="1:12" x14ac:dyDescent="0.45">
      <c r="A20" s="8" t="s">
        <v>42</v>
      </c>
      <c r="B20" t="s">
        <v>43</v>
      </c>
      <c r="C20">
        <v>11</v>
      </c>
      <c r="D20" s="2">
        <v>611772.69999999995</v>
      </c>
      <c r="E20" s="2">
        <v>611772.69999999995</v>
      </c>
      <c r="F20" s="2">
        <v>2809648</v>
      </c>
      <c r="H20" s="14">
        <v>12</v>
      </c>
      <c r="I20" s="2"/>
      <c r="J20" s="6">
        <v>2869807</v>
      </c>
      <c r="K20" s="7">
        <f>+J20</f>
        <v>2869807</v>
      </c>
      <c r="L20" s="8" t="s">
        <v>71</v>
      </c>
    </row>
    <row r="21" spans="1:12" x14ac:dyDescent="0.45">
      <c r="A21" s="8" t="s">
        <v>44</v>
      </c>
      <c r="B21" t="s">
        <v>45</v>
      </c>
      <c r="C21">
        <v>34</v>
      </c>
      <c r="D21" s="2">
        <v>2792111.35</v>
      </c>
      <c r="E21" s="2">
        <v>2792111.35</v>
      </c>
      <c r="F21" s="2">
        <v>16652</v>
      </c>
      <c r="H21" s="14"/>
      <c r="I21" s="2"/>
      <c r="J21" s="6">
        <f>+F21</f>
        <v>16652</v>
      </c>
      <c r="K21" s="7">
        <v>16088</v>
      </c>
      <c r="L21" s="8" t="s">
        <v>77</v>
      </c>
    </row>
    <row r="22" spans="1:12" x14ac:dyDescent="0.45">
      <c r="A22" s="8" t="s">
        <v>46</v>
      </c>
      <c r="B22" t="s">
        <v>47</v>
      </c>
      <c r="C22">
        <v>29</v>
      </c>
      <c r="D22" s="2">
        <v>7550231</v>
      </c>
      <c r="E22" s="2">
        <v>7550231</v>
      </c>
      <c r="F22" s="2">
        <v>53926</v>
      </c>
      <c r="H22" s="16"/>
      <c r="I22" s="9"/>
      <c r="J22" s="10"/>
      <c r="K22" s="11"/>
      <c r="L22" s="12" t="s">
        <v>71</v>
      </c>
    </row>
    <row r="23" spans="1:12" x14ac:dyDescent="0.45">
      <c r="A23" s="8" t="s">
        <v>48</v>
      </c>
      <c r="B23" t="s">
        <v>49</v>
      </c>
      <c r="C23">
        <v>4</v>
      </c>
      <c r="D23" s="2">
        <v>300000</v>
      </c>
      <c r="E23" s="2">
        <v>300000</v>
      </c>
      <c r="F23" s="2">
        <v>428570</v>
      </c>
      <c r="H23" s="14"/>
      <c r="I23" s="2"/>
      <c r="J23" s="6">
        <v>428570</v>
      </c>
      <c r="K23" s="7">
        <v>357142</v>
      </c>
      <c r="L23" s="8" t="s">
        <v>78</v>
      </c>
    </row>
    <row r="24" spans="1:12" x14ac:dyDescent="0.45">
      <c r="A24" s="8" t="s">
        <v>50</v>
      </c>
      <c r="B24" t="s">
        <v>51</v>
      </c>
      <c r="C24">
        <v>5</v>
      </c>
      <c r="D24" s="2">
        <v>695000</v>
      </c>
      <c r="E24" s="2">
        <v>695000</v>
      </c>
      <c r="F24" s="2">
        <v>516252</v>
      </c>
      <c r="H24" s="14"/>
      <c r="I24" s="2"/>
      <c r="J24" s="6">
        <v>516252</v>
      </c>
      <c r="K24" s="7">
        <v>500000</v>
      </c>
      <c r="L24" s="8" t="s">
        <v>71</v>
      </c>
    </row>
    <row r="25" spans="1:12" x14ac:dyDescent="0.45">
      <c r="A25" s="8" t="s">
        <v>52</v>
      </c>
      <c r="B25" t="s">
        <v>53</v>
      </c>
      <c r="C25">
        <v>4</v>
      </c>
      <c r="D25" s="2">
        <v>75000</v>
      </c>
      <c r="E25" s="2">
        <v>75000</v>
      </c>
      <c r="F25" s="2">
        <v>65000</v>
      </c>
      <c r="H25" s="14"/>
      <c r="I25" s="2"/>
      <c r="L25" s="8" t="s">
        <v>71</v>
      </c>
    </row>
    <row r="26" spans="1:12" x14ac:dyDescent="0.45">
      <c r="A26" s="8" t="s">
        <v>54</v>
      </c>
      <c r="B26" t="s">
        <v>55</v>
      </c>
      <c r="C26">
        <v>2</v>
      </c>
      <c r="D26" s="2">
        <v>230547.59</v>
      </c>
      <c r="E26" s="2">
        <v>230547.59</v>
      </c>
      <c r="F26" s="2">
        <v>27546</v>
      </c>
      <c r="H26" s="14"/>
      <c r="I26" s="2">
        <v>214505.60000000001</v>
      </c>
      <c r="J26" s="6">
        <v>11505</v>
      </c>
      <c r="K26" s="7">
        <v>11505</v>
      </c>
      <c r="L26" s="17" t="s">
        <v>71</v>
      </c>
    </row>
    <row r="27" spans="1:12" x14ac:dyDescent="0.45">
      <c r="A27" s="8" t="s">
        <v>56</v>
      </c>
      <c r="B27" t="s">
        <v>57</v>
      </c>
      <c r="C27">
        <v>16</v>
      </c>
      <c r="D27" s="2">
        <v>3265630</v>
      </c>
      <c r="E27" s="2">
        <v>3265630</v>
      </c>
      <c r="F27" s="2">
        <v>2249</v>
      </c>
      <c r="H27" s="14">
        <v>15</v>
      </c>
      <c r="I27" s="2">
        <v>3265630</v>
      </c>
      <c r="J27" s="6">
        <v>2249</v>
      </c>
      <c r="K27" s="7">
        <v>2249</v>
      </c>
      <c r="L27" s="8" t="s">
        <v>71</v>
      </c>
    </row>
    <row r="28" spans="1:12" x14ac:dyDescent="0.45">
      <c r="A28" s="8" t="s">
        <v>58</v>
      </c>
      <c r="B28" t="s">
        <v>59</v>
      </c>
      <c r="C28">
        <v>1</v>
      </c>
      <c r="D28" s="2">
        <v>2000000</v>
      </c>
      <c r="E28" s="2">
        <v>2000000</v>
      </c>
      <c r="F28" s="2">
        <v>20</v>
      </c>
      <c r="H28" s="14"/>
      <c r="I28" s="2"/>
      <c r="L28" s="8" t="s">
        <v>71</v>
      </c>
    </row>
    <row r="29" spans="1:12" x14ac:dyDescent="0.45">
      <c r="A29" s="8" t="s">
        <v>60</v>
      </c>
      <c r="B29" t="s">
        <v>61</v>
      </c>
      <c r="C29">
        <v>3</v>
      </c>
      <c r="D29" s="2">
        <v>246000</v>
      </c>
      <c r="E29" s="2">
        <v>246000</v>
      </c>
      <c r="F29" s="2">
        <v>246000</v>
      </c>
      <c r="H29" s="14"/>
      <c r="I29" s="2"/>
      <c r="L29" s="8" t="s">
        <v>71</v>
      </c>
    </row>
    <row r="30" spans="1:12" x14ac:dyDescent="0.45">
      <c r="A30" s="8" t="s">
        <v>62</v>
      </c>
      <c r="B30" t="s">
        <v>63</v>
      </c>
      <c r="C30">
        <v>2</v>
      </c>
      <c r="D30" s="2">
        <v>150000</v>
      </c>
      <c r="E30" s="2">
        <v>150000</v>
      </c>
      <c r="F30" s="2">
        <v>150000</v>
      </c>
      <c r="H30" s="14"/>
      <c r="I30" s="2"/>
      <c r="L30" s="8" t="s">
        <v>77</v>
      </c>
    </row>
    <row r="31" spans="1:12" x14ac:dyDescent="0.45">
      <c r="A31" s="8" t="s">
        <v>64</v>
      </c>
      <c r="B31" t="s">
        <v>65</v>
      </c>
      <c r="C31">
        <v>2</v>
      </c>
      <c r="D31" s="2">
        <v>175000</v>
      </c>
      <c r="E31" s="2">
        <v>175000</v>
      </c>
      <c r="F31" s="2">
        <v>175000</v>
      </c>
      <c r="H31" s="14"/>
      <c r="I31" s="2"/>
      <c r="L31" s="8" t="s">
        <v>71</v>
      </c>
    </row>
    <row r="32" spans="1:12" x14ac:dyDescent="0.45">
      <c r="A32" s="18"/>
      <c r="B32" s="3"/>
      <c r="C32" s="3"/>
      <c r="D32" s="3"/>
      <c r="E32" s="3"/>
      <c r="F32" s="3"/>
    </row>
    <row r="33" spans="1:9" x14ac:dyDescent="0.45">
      <c r="A33" s="8" t="s">
        <v>66</v>
      </c>
      <c r="C33">
        <v>464</v>
      </c>
      <c r="D33" s="2">
        <v>107561315.06</v>
      </c>
      <c r="E33" s="2">
        <v>99841886.280000016</v>
      </c>
      <c r="F33" s="2">
        <v>13310200.52</v>
      </c>
      <c r="I33" t="s">
        <v>76</v>
      </c>
    </row>
  </sheetData>
  <pageMargins left="0.75" right="0.75" top="1" bottom="1" header="0.5" footer="0.5"/>
  <ignoredErrors>
    <ignoredError sqref="J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88FCC1-BA35-4862-B800-E807D1D6902D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D</cp:lastModifiedBy>
  <dcterms:created xsi:type="dcterms:W3CDTF">2026-01-10T13:05:08Z</dcterms:created>
  <dcterms:modified xsi:type="dcterms:W3CDTF">2026-01-14T14:37:19Z</dcterms:modified>
</cp:coreProperties>
</file>